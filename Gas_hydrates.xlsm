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engfs.eng.ad.ucalgary.ca\home\tflins\Documents\"/>
    </mc:Choice>
  </mc:AlternateContent>
  <bookViews>
    <workbookView xWindow="0" yWindow="0" windowWidth="28800" windowHeight="12435"/>
  </bookViews>
  <sheets>
    <sheet name="Sheet1" sheetId="1" r:id="rId1"/>
    <sheet name="Plotted Results" sheetId="5" r:id="rId2"/>
    <sheet name="Sheet3" sheetId="3" r:id="rId3"/>
    <sheet name="Sheet2" sheetId="2" r:id="rId4"/>
    <sheet name="Sheet4" sheetId="4" r:id="rId5"/>
  </sheets>
  <functionGroups builtInGroupCount="18"/>
  <calcPr calcId="152511"/>
</workbook>
</file>

<file path=xl/calcChain.xml><?xml version="1.0" encoding="utf-8"?>
<calcChain xmlns="http://schemas.openxmlformats.org/spreadsheetml/2006/main">
  <c r="I4" i="4" l="1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3" i="4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10" i="2"/>
  <c r="C27" i="3" l="1"/>
  <c r="D27" i="3"/>
  <c r="C28" i="3"/>
  <c r="D28" i="3"/>
  <c r="C29" i="3"/>
  <c r="D29" i="3"/>
  <c r="C30" i="3"/>
  <c r="D30" i="3"/>
  <c r="C31" i="3"/>
  <c r="D31" i="3"/>
  <c r="C32" i="3"/>
  <c r="D32" i="3"/>
  <c r="C33" i="3"/>
  <c r="D33" i="3"/>
  <c r="C34" i="3"/>
  <c r="D34" i="3"/>
  <c r="C35" i="3"/>
  <c r="D35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D26" i="3"/>
  <c r="C26" i="3"/>
  <c r="D23" i="3"/>
  <c r="D19" i="3"/>
  <c r="D20" i="3"/>
  <c r="D21" i="3"/>
  <c r="D22" i="3"/>
  <c r="D18" i="3"/>
  <c r="C7" i="3" l="1"/>
  <c r="D8" i="3"/>
  <c r="D9" i="3"/>
  <c r="D10" i="3"/>
  <c r="D11" i="3"/>
  <c r="D12" i="3"/>
  <c r="D13" i="3"/>
  <c r="D7" i="3"/>
  <c r="C8" i="3"/>
  <c r="C9" i="3"/>
  <c r="C10" i="3"/>
  <c r="C11" i="3"/>
  <c r="C12" i="3"/>
  <c r="C13" i="3"/>
  <c r="F14" i="1" l="1"/>
  <c r="F13" i="1"/>
  <c r="E6" i="1" l="1"/>
  <c r="F4" i="1"/>
  <c r="F6" i="1" s="1"/>
  <c r="E7" i="1"/>
  <c r="F7" i="1"/>
</calcChain>
</file>

<file path=xl/sharedStrings.xml><?xml version="1.0" encoding="utf-8"?>
<sst xmlns="http://schemas.openxmlformats.org/spreadsheetml/2006/main" count="75" uniqueCount="51">
  <si>
    <t>K</t>
  </si>
  <si>
    <t>b</t>
  </si>
  <si>
    <t>Methane</t>
  </si>
  <si>
    <t>Water</t>
  </si>
  <si>
    <t>Tc</t>
  </si>
  <si>
    <t>Pc</t>
  </si>
  <si>
    <t>omega</t>
  </si>
  <si>
    <t>a</t>
  </si>
  <si>
    <t>Dmu</t>
  </si>
  <si>
    <t>Dho</t>
  </si>
  <si>
    <t>Cpo</t>
  </si>
  <si>
    <t>beta</t>
  </si>
  <si>
    <t>Dv</t>
  </si>
  <si>
    <t>vms</t>
  </si>
  <si>
    <t>vml</t>
  </si>
  <si>
    <t>small</t>
  </si>
  <si>
    <t>large</t>
  </si>
  <si>
    <t>Am</t>
  </si>
  <si>
    <t>Bm</t>
  </si>
  <si>
    <t>T</t>
  </si>
  <si>
    <t>P</t>
  </si>
  <si>
    <t>number of points</t>
  </si>
  <si>
    <t>Z(c1)</t>
  </si>
  <si>
    <t>Z(h2o)</t>
  </si>
  <si>
    <t>x(c1)</t>
  </si>
  <si>
    <t>x(h2o)</t>
  </si>
  <si>
    <t>y(c1)</t>
  </si>
  <si>
    <t>y(h2o)</t>
  </si>
  <si>
    <t>fugL(c1)</t>
  </si>
  <si>
    <t>fugV(h2o)</t>
  </si>
  <si>
    <t>fugV(c1)</t>
  </si>
  <si>
    <t>fugL(h2o)</t>
  </si>
  <si>
    <t>Clathrate Hydrates of Natural Gases, Third Edition</t>
  </si>
  <si>
    <t>(Taras Y. Makogon and E. Dendy Sloan, Jr., 1994)</t>
  </si>
  <si>
    <t xml:space="preserve">pubs.rsc.org/en/content/articlehtml/2010/pc/b811059j </t>
  </si>
  <si>
    <t>T(K)</t>
  </si>
  <si>
    <t>P(Pa)</t>
  </si>
  <si>
    <t>R(m3 Pa mol-1 K-1)</t>
  </si>
  <si>
    <t>T &gt;= 273.15</t>
  </si>
  <si>
    <t>T &lt; 273.15</t>
  </si>
  <si>
    <t>Number of iterations</t>
  </si>
  <si>
    <t>without flash</t>
  </si>
  <si>
    <t>with flash</t>
  </si>
  <si>
    <t>fugacity</t>
  </si>
  <si>
    <t>Fugacity</t>
  </si>
  <si>
    <t>x</t>
  </si>
  <si>
    <t>Curve1</t>
  </si>
  <si>
    <t>error</t>
  </si>
  <si>
    <t>Initial P(Pa)</t>
  </si>
  <si>
    <t>fugacity (Pa)</t>
  </si>
  <si>
    <t>Flash Calculation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</si>
</sst>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11"/>
      <color rgb="FF000000"/>
      <name val="Calibri"/>
      <family val="2"/>
    </font>
    <font>
      <b/>
      <sz val="10.5"/>
      <color rgb="FF333333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9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39997558519241921"/>
      </bottom>
      <diagonal/>
    </border>
  </borders>
  <cellStyleXfs count="7">
    <xf numFmtId="0" fontId="0" fillId="0" borderId="0"/>
    <xf numFmtId="0" fontId="4" fillId="2" borderId="1" applyNumberFormat="0" applyAlignment="0" applyProtection="0"/>
    <xf numFmtId="0" fontId="5" fillId="3" borderId="2" applyNumberFormat="0" applyAlignment="0" applyProtection="0"/>
    <xf numFmtId="0" fontId="6" fillId="4" borderId="3" applyNumberFormat="0" applyAlignment="0" applyProtection="0"/>
    <xf numFmtId="0" fontId="7" fillId="0" borderId="0" applyNumberFormat="0" applyFill="0" applyBorder="0" applyAlignment="0" applyProtection="0"/>
    <xf numFmtId="0" fontId="8" fillId="0" borderId="4" applyNumberFormat="0" applyFill="0" applyAlignment="0" applyProtection="0"/>
    <xf numFmtId="0" fontId="9" fillId="5" borderId="0" applyNumberFormat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6" fillId="4" borderId="3" xfId="3"/>
    <xf numFmtId="0" fontId="4" fillId="2" borderId="1" xfId="1"/>
    <xf numFmtId="0" fontId="7" fillId="0" borderId="0" xfId="4"/>
    <xf numFmtId="0" fontId="5" fillId="3" borderId="2" xfId="2"/>
    <xf numFmtId="0" fontId="8" fillId="0" borderId="4" xfId="5"/>
    <xf numFmtId="11" fontId="7" fillId="0" borderId="0" xfId="4" applyNumberFormat="1"/>
    <xf numFmtId="0" fontId="6" fillId="4" borderId="0" xfId="3" applyBorder="1"/>
    <xf numFmtId="0" fontId="9" fillId="5" borderId="0" xfId="6" applyAlignment="1">
      <alignment horizontal="center"/>
    </xf>
  </cellXfs>
  <cellStyles count="7">
    <cellStyle name="Accent6" xfId="6" builtinId="49"/>
    <cellStyle name="Check Cell" xfId="3" builtinId="23"/>
    <cellStyle name="Explanatory Text" xfId="4" builtinId="53"/>
    <cellStyle name="Heading 3" xfId="5" builtinId="18"/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Sheet1!$M$9:$M$1048576</c:f>
              <c:numCache>
                <c:formatCode>General</c:formatCode>
                <c:ptCount val="1048568"/>
                <c:pt idx="0">
                  <c:v>260</c:v>
                </c:pt>
                <c:pt idx="1">
                  <c:v>260.40816326530614</c:v>
                </c:pt>
                <c:pt idx="2">
                  <c:v>260.81632653061223</c:v>
                </c:pt>
                <c:pt idx="3">
                  <c:v>261.22448979591837</c:v>
                </c:pt>
                <c:pt idx="4">
                  <c:v>261.63265306122452</c:v>
                </c:pt>
                <c:pt idx="5">
                  <c:v>262.0408163265306</c:v>
                </c:pt>
                <c:pt idx="6">
                  <c:v>262.44897959183675</c:v>
                </c:pt>
                <c:pt idx="7">
                  <c:v>262.85714285714283</c:v>
                </c:pt>
                <c:pt idx="8">
                  <c:v>263.26530612244898</c:v>
                </c:pt>
                <c:pt idx="9">
                  <c:v>263.67346938775512</c:v>
                </c:pt>
                <c:pt idx="10">
                  <c:v>264.08163265306121</c:v>
                </c:pt>
                <c:pt idx="11">
                  <c:v>264.48979591836735</c:v>
                </c:pt>
                <c:pt idx="12">
                  <c:v>264.89795918367349</c:v>
                </c:pt>
                <c:pt idx="13">
                  <c:v>265.30612244897958</c:v>
                </c:pt>
                <c:pt idx="14">
                  <c:v>265.71428571428572</c:v>
                </c:pt>
                <c:pt idx="15">
                  <c:v>266.12244897959181</c:v>
                </c:pt>
                <c:pt idx="16">
                  <c:v>266.53061224489795</c:v>
                </c:pt>
                <c:pt idx="17">
                  <c:v>266.9387755102041</c:v>
                </c:pt>
                <c:pt idx="18">
                  <c:v>267.34693877551018</c:v>
                </c:pt>
                <c:pt idx="19">
                  <c:v>267.75510204081633</c:v>
                </c:pt>
                <c:pt idx="20">
                  <c:v>268.16326530612247</c:v>
                </c:pt>
                <c:pt idx="21">
                  <c:v>268.57142857142856</c:v>
                </c:pt>
                <c:pt idx="22">
                  <c:v>268.9795918367347</c:v>
                </c:pt>
                <c:pt idx="23">
                  <c:v>269.38775510204084</c:v>
                </c:pt>
                <c:pt idx="24">
                  <c:v>269.79591836734693</c:v>
                </c:pt>
                <c:pt idx="25">
                  <c:v>270.20408163265307</c:v>
                </c:pt>
                <c:pt idx="26">
                  <c:v>270.61224489795916</c:v>
                </c:pt>
                <c:pt idx="27">
                  <c:v>271.0204081632653</c:v>
                </c:pt>
                <c:pt idx="28">
                  <c:v>271.42857142857144</c:v>
                </c:pt>
                <c:pt idx="29">
                  <c:v>271.83673469387753</c:v>
                </c:pt>
                <c:pt idx="30">
                  <c:v>272.24489795918367</c:v>
                </c:pt>
                <c:pt idx="31">
                  <c:v>272.65306122448982</c:v>
                </c:pt>
                <c:pt idx="32">
                  <c:v>273.0612244897959</c:v>
                </c:pt>
                <c:pt idx="33">
                  <c:v>273.46938775510205</c:v>
                </c:pt>
                <c:pt idx="34">
                  <c:v>273.87755102040819</c:v>
                </c:pt>
                <c:pt idx="35">
                  <c:v>274.28571428571428</c:v>
                </c:pt>
                <c:pt idx="36">
                  <c:v>274.69387755102042</c:v>
                </c:pt>
                <c:pt idx="37">
                  <c:v>275.10204081632651</c:v>
                </c:pt>
                <c:pt idx="38">
                  <c:v>275.51020408163265</c:v>
                </c:pt>
                <c:pt idx="39">
                  <c:v>275.91836734693879</c:v>
                </c:pt>
                <c:pt idx="40">
                  <c:v>276.32653061224488</c:v>
                </c:pt>
                <c:pt idx="41">
                  <c:v>276.73469387755102</c:v>
                </c:pt>
                <c:pt idx="42">
                  <c:v>277.14285714285717</c:v>
                </c:pt>
                <c:pt idx="43">
                  <c:v>277.55102040816325</c:v>
                </c:pt>
                <c:pt idx="44">
                  <c:v>277.9591836734694</c:v>
                </c:pt>
                <c:pt idx="45">
                  <c:v>278.36734693877554</c:v>
                </c:pt>
                <c:pt idx="46">
                  <c:v>278.77551020408163</c:v>
                </c:pt>
                <c:pt idx="47">
                  <c:v>279.18367346938777</c:v>
                </c:pt>
                <c:pt idx="48">
                  <c:v>279.59183673469386</c:v>
                </c:pt>
                <c:pt idx="49">
                  <c:v>280</c:v>
                </c:pt>
              </c:numCache>
            </c:numRef>
          </c:xVal>
          <c:yVal>
            <c:numRef>
              <c:f>Sheet1!$N$9:$N$1048576</c:f>
              <c:numCache>
                <c:formatCode>General</c:formatCode>
                <c:ptCount val="1048568"/>
                <c:pt idx="0">
                  <c:v>1704919.6746587995</c:v>
                </c:pt>
                <c:pt idx="1">
                  <c:v>1728617.1630165754</c:v>
                </c:pt>
                <c:pt idx="2">
                  <c:v>1752699.4614903145</c:v>
                </c:pt>
                <c:pt idx="3">
                  <c:v>1777044.4127324966</c:v>
                </c:pt>
                <c:pt idx="4">
                  <c:v>1801653.5611045191</c:v>
                </c:pt>
                <c:pt idx="5">
                  <c:v>1826528.8903769355</c:v>
                </c:pt>
                <c:pt idx="6">
                  <c:v>1851672.392343634</c:v>
                </c:pt>
                <c:pt idx="7">
                  <c:v>1877086.0652218894</c:v>
                </c:pt>
                <c:pt idx="8">
                  <c:v>1902771.913581396</c:v>
                </c:pt>
                <c:pt idx="9">
                  <c:v>1928731.9482770327</c:v>
                </c:pt>
                <c:pt idx="10">
                  <c:v>1954968.1863799067</c:v>
                </c:pt>
                <c:pt idx="11">
                  <c:v>1981482.6511065906</c:v>
                </c:pt>
                <c:pt idx="12">
                  <c:v>2008277.3717464278</c:v>
                </c:pt>
                <c:pt idx="13">
                  <c:v>2035354.3835870468</c:v>
                </c:pt>
                <c:pt idx="14">
                  <c:v>2062715.7278378955</c:v>
                </c:pt>
                <c:pt idx="15">
                  <c:v>2090363.4515518288</c:v>
                </c:pt>
                <c:pt idx="16">
                  <c:v>2118299.6075447272</c:v>
                </c:pt>
                <c:pt idx="17">
                  <c:v>2146526.2543130619</c:v>
                </c:pt>
                <c:pt idx="18">
                  <c:v>2175045.4559494355</c:v>
                </c:pt>
                <c:pt idx="19">
                  <c:v>2203859.2820560136</c:v>
                </c:pt>
                <c:pt idx="20">
                  <c:v>2232969.8076558169</c:v>
                </c:pt>
                <c:pt idx="21">
                  <c:v>2262379.1131018652</c:v>
                </c:pt>
                <c:pt idx="22">
                  <c:v>2292089.2839841694</c:v>
                </c:pt>
                <c:pt idx="23">
                  <c:v>2322102.4110343875</c:v>
                </c:pt>
                <c:pt idx="24">
                  <c:v>2352420.5900283353</c:v>
                </c:pt>
                <c:pt idx="25">
                  <c:v>2383045.9216861348</c:v>
                </c:pt>
                <c:pt idx="26">
                  <c:v>2413980.5115700262</c:v>
                </c:pt>
                <c:pt idx="27">
                  <c:v>2445226.4699798557</c:v>
                </c:pt>
                <c:pt idx="28">
                  <c:v>2476785.9118461376</c:v>
                </c:pt>
                <c:pt idx="29">
                  <c:v>2508660.9566206653</c:v>
                </c:pt>
                <c:pt idx="30">
                  <c:v>2540853.7281647334</c:v>
                </c:pt>
                <c:pt idx="31">
                  <c:v>2573366.3546347483</c:v>
                </c:pt>
                <c:pt idx="32">
                  <c:v>2606200.9683654392</c:v>
                </c:pt>
                <c:pt idx="33">
                  <c:v>2729343.7765592011</c:v>
                </c:pt>
                <c:pt idx="34">
                  <c:v>2840317.7641152437</c:v>
                </c:pt>
                <c:pt idx="35">
                  <c:v>2955958.9410964018</c:v>
                </c:pt>
                <c:pt idx="36">
                  <c:v>3076611.5878497567</c:v>
                </c:pt>
                <c:pt idx="37">
                  <c:v>3202528.5266368049</c:v>
                </c:pt>
                <c:pt idx="38">
                  <c:v>3333977.7998394845</c:v>
                </c:pt>
                <c:pt idx="39">
                  <c:v>3471244.6901503219</c:v>
                </c:pt>
                <c:pt idx="40">
                  <c:v>3614633.1463573407</c:v>
                </c:pt>
                <c:pt idx="41">
                  <c:v>3765995.10571894</c:v>
                </c:pt>
                <c:pt idx="42">
                  <c:v>3922802.3783160355</c:v>
                </c:pt>
                <c:pt idx="43">
                  <c:v>4086791.5571081843</c:v>
                </c:pt>
                <c:pt idx="44">
                  <c:v>4258362.9040922467</c:v>
                </c:pt>
                <c:pt idx="45">
                  <c:v>4437943.6539764218</c:v>
                </c:pt>
                <c:pt idx="46">
                  <c:v>4625992.2437483361</c:v>
                </c:pt>
                <c:pt idx="47">
                  <c:v>4823001.1922556292</c:v>
                </c:pt>
                <c:pt idx="48">
                  <c:v>5029500.2843281114</c:v>
                </c:pt>
                <c:pt idx="49">
                  <c:v>5246060.0947361588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130560"/>
        <c:axId val="266130952"/>
      </c:scatterChart>
      <c:valAx>
        <c:axId val="266130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 (K)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6130952"/>
        <c:crosses val="autoZero"/>
        <c:crossBetween val="midCat"/>
      </c:valAx>
      <c:valAx>
        <c:axId val="266130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Pressure (Pa)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613056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539129483814523"/>
          <c:y val="5.1400554097404488E-2"/>
          <c:w val="0.50952427821522306"/>
          <c:h val="0.73444808982210552"/>
        </c:manualLayout>
      </c:layout>
      <c:scatterChart>
        <c:scatterStyle val="smoothMarker"/>
        <c:varyColors val="0"/>
        <c:ser>
          <c:idx val="1"/>
          <c:order val="0"/>
          <c:tx>
            <c:v>Results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Sheet1!$M$9:$M$100</c:f>
              <c:numCache>
                <c:formatCode>General</c:formatCode>
                <c:ptCount val="92"/>
                <c:pt idx="0">
                  <c:v>260</c:v>
                </c:pt>
                <c:pt idx="1">
                  <c:v>260.40816326530614</c:v>
                </c:pt>
                <c:pt idx="2">
                  <c:v>260.81632653061223</c:v>
                </c:pt>
                <c:pt idx="3">
                  <c:v>261.22448979591837</c:v>
                </c:pt>
                <c:pt idx="4">
                  <c:v>261.63265306122452</c:v>
                </c:pt>
                <c:pt idx="5">
                  <c:v>262.0408163265306</c:v>
                </c:pt>
                <c:pt idx="6">
                  <c:v>262.44897959183675</c:v>
                </c:pt>
                <c:pt idx="7">
                  <c:v>262.85714285714283</c:v>
                </c:pt>
                <c:pt idx="8">
                  <c:v>263.26530612244898</c:v>
                </c:pt>
                <c:pt idx="9">
                  <c:v>263.67346938775512</c:v>
                </c:pt>
                <c:pt idx="10">
                  <c:v>264.08163265306121</c:v>
                </c:pt>
                <c:pt idx="11">
                  <c:v>264.48979591836735</c:v>
                </c:pt>
                <c:pt idx="12">
                  <c:v>264.89795918367349</c:v>
                </c:pt>
                <c:pt idx="13">
                  <c:v>265.30612244897958</c:v>
                </c:pt>
                <c:pt idx="14">
                  <c:v>265.71428571428572</c:v>
                </c:pt>
                <c:pt idx="15">
                  <c:v>266.12244897959181</c:v>
                </c:pt>
                <c:pt idx="16">
                  <c:v>266.53061224489795</c:v>
                </c:pt>
                <c:pt idx="17">
                  <c:v>266.9387755102041</c:v>
                </c:pt>
                <c:pt idx="18">
                  <c:v>267.34693877551018</c:v>
                </c:pt>
                <c:pt idx="19">
                  <c:v>267.75510204081633</c:v>
                </c:pt>
                <c:pt idx="20">
                  <c:v>268.16326530612247</c:v>
                </c:pt>
                <c:pt idx="21">
                  <c:v>268.57142857142856</c:v>
                </c:pt>
                <c:pt idx="22">
                  <c:v>268.9795918367347</c:v>
                </c:pt>
                <c:pt idx="23">
                  <c:v>269.38775510204084</c:v>
                </c:pt>
                <c:pt idx="24">
                  <c:v>269.79591836734693</c:v>
                </c:pt>
                <c:pt idx="25">
                  <c:v>270.20408163265307</c:v>
                </c:pt>
                <c:pt idx="26">
                  <c:v>270.61224489795916</c:v>
                </c:pt>
                <c:pt idx="27">
                  <c:v>271.0204081632653</c:v>
                </c:pt>
                <c:pt idx="28">
                  <c:v>271.42857142857144</c:v>
                </c:pt>
                <c:pt idx="29">
                  <c:v>271.83673469387753</c:v>
                </c:pt>
                <c:pt idx="30">
                  <c:v>272.24489795918367</c:v>
                </c:pt>
                <c:pt idx="31">
                  <c:v>272.65306122448982</c:v>
                </c:pt>
                <c:pt idx="32">
                  <c:v>273.0612244897959</c:v>
                </c:pt>
                <c:pt idx="33">
                  <c:v>273.46938775510205</c:v>
                </c:pt>
                <c:pt idx="34">
                  <c:v>273.87755102040819</c:v>
                </c:pt>
                <c:pt idx="35">
                  <c:v>274.28571428571428</c:v>
                </c:pt>
                <c:pt idx="36">
                  <c:v>274.69387755102042</c:v>
                </c:pt>
                <c:pt idx="37">
                  <c:v>275.10204081632651</c:v>
                </c:pt>
                <c:pt idx="38">
                  <c:v>275.51020408163265</c:v>
                </c:pt>
                <c:pt idx="39">
                  <c:v>275.91836734693879</c:v>
                </c:pt>
                <c:pt idx="40">
                  <c:v>276.32653061224488</c:v>
                </c:pt>
                <c:pt idx="41">
                  <c:v>276.73469387755102</c:v>
                </c:pt>
                <c:pt idx="42">
                  <c:v>277.14285714285717</c:v>
                </c:pt>
                <c:pt idx="43">
                  <c:v>277.55102040816325</c:v>
                </c:pt>
                <c:pt idx="44">
                  <c:v>277.9591836734694</c:v>
                </c:pt>
                <c:pt idx="45">
                  <c:v>278.36734693877554</c:v>
                </c:pt>
                <c:pt idx="46">
                  <c:v>278.77551020408163</c:v>
                </c:pt>
                <c:pt idx="47">
                  <c:v>279.18367346938777</c:v>
                </c:pt>
                <c:pt idx="48">
                  <c:v>279.59183673469386</c:v>
                </c:pt>
                <c:pt idx="49">
                  <c:v>280</c:v>
                </c:pt>
              </c:numCache>
            </c:numRef>
          </c:xVal>
          <c:yVal>
            <c:numRef>
              <c:f>Sheet1!$N$9:$N$100</c:f>
              <c:numCache>
                <c:formatCode>General</c:formatCode>
                <c:ptCount val="92"/>
                <c:pt idx="0">
                  <c:v>1704919.6746587995</c:v>
                </c:pt>
                <c:pt idx="1">
                  <c:v>1728617.1630165754</c:v>
                </c:pt>
                <c:pt idx="2">
                  <c:v>1752699.4614903145</c:v>
                </c:pt>
                <c:pt idx="3">
                  <c:v>1777044.4127324966</c:v>
                </c:pt>
                <c:pt idx="4">
                  <c:v>1801653.5611045191</c:v>
                </c:pt>
                <c:pt idx="5">
                  <c:v>1826528.8903769355</c:v>
                </c:pt>
                <c:pt idx="6">
                  <c:v>1851672.392343634</c:v>
                </c:pt>
                <c:pt idx="7">
                  <c:v>1877086.0652218894</c:v>
                </c:pt>
                <c:pt idx="8">
                  <c:v>1902771.913581396</c:v>
                </c:pt>
                <c:pt idx="9">
                  <c:v>1928731.9482770327</c:v>
                </c:pt>
                <c:pt idx="10">
                  <c:v>1954968.1863799067</c:v>
                </c:pt>
                <c:pt idx="11">
                  <c:v>1981482.6511065906</c:v>
                </c:pt>
                <c:pt idx="12">
                  <c:v>2008277.3717464278</c:v>
                </c:pt>
                <c:pt idx="13">
                  <c:v>2035354.3835870468</c:v>
                </c:pt>
                <c:pt idx="14">
                  <c:v>2062715.7278378955</c:v>
                </c:pt>
                <c:pt idx="15">
                  <c:v>2090363.4515518288</c:v>
                </c:pt>
                <c:pt idx="16">
                  <c:v>2118299.6075447272</c:v>
                </c:pt>
                <c:pt idx="17">
                  <c:v>2146526.2543130619</c:v>
                </c:pt>
                <c:pt idx="18">
                  <c:v>2175045.4559494355</c:v>
                </c:pt>
                <c:pt idx="19">
                  <c:v>2203859.2820560136</c:v>
                </c:pt>
                <c:pt idx="20">
                  <c:v>2232969.8076558169</c:v>
                </c:pt>
                <c:pt idx="21">
                  <c:v>2262379.1131018652</c:v>
                </c:pt>
                <c:pt idx="22">
                  <c:v>2292089.2839841694</c:v>
                </c:pt>
                <c:pt idx="23">
                  <c:v>2322102.4110343875</c:v>
                </c:pt>
                <c:pt idx="24">
                  <c:v>2352420.5900283353</c:v>
                </c:pt>
                <c:pt idx="25">
                  <c:v>2383045.9216861348</c:v>
                </c:pt>
                <c:pt idx="26">
                  <c:v>2413980.5115700262</c:v>
                </c:pt>
                <c:pt idx="27">
                  <c:v>2445226.4699798557</c:v>
                </c:pt>
                <c:pt idx="28">
                  <c:v>2476785.9118461376</c:v>
                </c:pt>
                <c:pt idx="29">
                  <c:v>2508660.9566206653</c:v>
                </c:pt>
                <c:pt idx="30">
                  <c:v>2540853.7281647334</c:v>
                </c:pt>
                <c:pt idx="31">
                  <c:v>2573366.3546347483</c:v>
                </c:pt>
                <c:pt idx="32">
                  <c:v>2606200.9683654392</c:v>
                </c:pt>
                <c:pt idx="33">
                  <c:v>2729343.7765592011</c:v>
                </c:pt>
                <c:pt idx="34">
                  <c:v>2840317.7641152437</c:v>
                </c:pt>
                <c:pt idx="35">
                  <c:v>2955958.9410964018</c:v>
                </c:pt>
                <c:pt idx="36">
                  <c:v>3076611.5878497567</c:v>
                </c:pt>
                <c:pt idx="37">
                  <c:v>3202528.5266368049</c:v>
                </c:pt>
                <c:pt idx="38">
                  <c:v>3333977.7998394845</c:v>
                </c:pt>
                <c:pt idx="39">
                  <c:v>3471244.6901503219</c:v>
                </c:pt>
                <c:pt idx="40">
                  <c:v>3614633.1463573407</c:v>
                </c:pt>
                <c:pt idx="41">
                  <c:v>3765995.10571894</c:v>
                </c:pt>
                <c:pt idx="42">
                  <c:v>3922802.3783160355</c:v>
                </c:pt>
                <c:pt idx="43">
                  <c:v>4086791.5571081843</c:v>
                </c:pt>
                <c:pt idx="44">
                  <c:v>4258362.9040922467</c:v>
                </c:pt>
                <c:pt idx="45">
                  <c:v>4437943.6539764218</c:v>
                </c:pt>
                <c:pt idx="46">
                  <c:v>4625992.2437483361</c:v>
                </c:pt>
                <c:pt idx="47">
                  <c:v>4823001.1922556292</c:v>
                </c:pt>
                <c:pt idx="48">
                  <c:v>5029500.2843281114</c:v>
                </c:pt>
                <c:pt idx="49">
                  <c:v>5246060.0947361588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11096"/>
        <c:axId val="192844848"/>
      </c:scatterChart>
      <c:scatterChart>
        <c:scatterStyle val="lineMarker"/>
        <c:varyColors val="0"/>
        <c:ser>
          <c:idx val="0"/>
          <c:order val="1"/>
          <c:tx>
            <c:v>Schicks (2010)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Sheet3!$A$7:$A$13</c:f>
              <c:numCache>
                <c:formatCode>General</c:formatCode>
                <c:ptCount val="7"/>
                <c:pt idx="0">
                  <c:v>275.09100000000001</c:v>
                </c:pt>
                <c:pt idx="1">
                  <c:v>278.24900000000002</c:v>
                </c:pt>
                <c:pt idx="2">
                  <c:v>279.45499999999998</c:v>
                </c:pt>
                <c:pt idx="3">
                  <c:v>281.23399999999998</c:v>
                </c:pt>
                <c:pt idx="4">
                  <c:v>282.411</c:v>
                </c:pt>
                <c:pt idx="5">
                  <c:v>283.73200000000003</c:v>
                </c:pt>
                <c:pt idx="6">
                  <c:v>284.65100000000001</c:v>
                </c:pt>
              </c:numCache>
            </c:numRef>
          </c:xVal>
          <c:yVal>
            <c:numRef>
              <c:f>Sheet3!$D$7:$D$13</c:f>
              <c:numCache>
                <c:formatCode>General</c:formatCode>
                <c:ptCount val="7"/>
                <c:pt idx="0">
                  <c:v>2989320</c:v>
                </c:pt>
                <c:pt idx="1">
                  <c:v>3985770</c:v>
                </c:pt>
                <c:pt idx="2">
                  <c:v>4982210</c:v>
                </c:pt>
                <c:pt idx="3">
                  <c:v>5978650</c:v>
                </c:pt>
                <c:pt idx="4">
                  <c:v>6975090</c:v>
                </c:pt>
                <c:pt idx="5">
                  <c:v>7935940</c:v>
                </c:pt>
                <c:pt idx="6">
                  <c:v>8967970</c:v>
                </c:pt>
              </c:numCache>
            </c:numRef>
          </c:yVal>
          <c:smooth val="0"/>
        </c:ser>
        <c:ser>
          <c:idx val="2"/>
          <c:order val="2"/>
          <c:tx>
            <c:v>Makogon and Sloan (1994)</c:v>
          </c:tx>
          <c:spPr>
            <a:ln w="28575">
              <a:noFill/>
            </a:ln>
          </c:spPr>
          <c:marker>
            <c:symbol val="star"/>
            <c:size val="7"/>
          </c:marker>
          <c:xVal>
            <c:numRef>
              <c:f>Sheet3!$A$18:$A$23</c:f>
              <c:numCache>
                <c:formatCode>General</c:formatCode>
                <c:ptCount val="6"/>
                <c:pt idx="0">
                  <c:v>190.15</c:v>
                </c:pt>
                <c:pt idx="1">
                  <c:v>198.15</c:v>
                </c:pt>
                <c:pt idx="2">
                  <c:v>208.15</c:v>
                </c:pt>
                <c:pt idx="3">
                  <c:v>218.15</c:v>
                </c:pt>
                <c:pt idx="4">
                  <c:v>243.15</c:v>
                </c:pt>
                <c:pt idx="5">
                  <c:v>262.39999999999998</c:v>
                </c:pt>
              </c:numCache>
            </c:numRef>
          </c:xVal>
          <c:yVal>
            <c:numRef>
              <c:f>Sheet3!$D$18:$D$23</c:f>
              <c:numCache>
                <c:formatCode>General</c:formatCode>
                <c:ptCount val="6"/>
                <c:pt idx="0">
                  <c:v>82510</c:v>
                </c:pt>
                <c:pt idx="1">
                  <c:v>131400</c:v>
                </c:pt>
                <c:pt idx="2">
                  <c:v>221900</c:v>
                </c:pt>
                <c:pt idx="3">
                  <c:v>357100</c:v>
                </c:pt>
                <c:pt idx="4">
                  <c:v>955000</c:v>
                </c:pt>
                <c:pt idx="5">
                  <c:v>1798000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11096"/>
        <c:axId val="192844848"/>
      </c:scatterChart>
      <c:valAx>
        <c:axId val="192811096"/>
        <c:scaling>
          <c:orientation val="minMax"/>
          <c:max val="285"/>
          <c:min val="2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 (K)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2844848"/>
        <c:crosses val="autoZero"/>
        <c:crossBetween val="midCat"/>
      </c:valAx>
      <c:valAx>
        <c:axId val="192844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Pressure (Pa)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2811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937379702537197"/>
          <c:y val="0.29051509186351704"/>
          <c:w val="0.25395953630796153"/>
          <c:h val="0.4189698162729658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130796150481189"/>
          <c:y val="5.1400554097404488E-2"/>
          <c:w val="0.50812270341207344"/>
          <c:h val="0.73444808982210552"/>
        </c:manualLayout>
      </c:layout>
      <c:scatterChart>
        <c:scatterStyle val="lineMarker"/>
        <c:varyColors val="0"/>
        <c:ser>
          <c:idx val="1"/>
          <c:order val="1"/>
          <c:tx>
            <c:v>Data from Sloan (1998)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Sheet3!$C$26:$C$67</c:f>
              <c:numCache>
                <c:formatCode>General</c:formatCode>
                <c:ptCount val="42"/>
                <c:pt idx="0">
                  <c:v>266.10899999999998</c:v>
                </c:pt>
                <c:pt idx="1">
                  <c:v>266.60700000000003</c:v>
                </c:pt>
                <c:pt idx="2">
                  <c:v>267.303</c:v>
                </c:pt>
                <c:pt idx="3">
                  <c:v>268.19900000000001</c:v>
                </c:pt>
                <c:pt idx="4">
                  <c:v>269.09500000000003</c:v>
                </c:pt>
                <c:pt idx="5">
                  <c:v>270.08999999999997</c:v>
                </c:pt>
                <c:pt idx="6">
                  <c:v>271.28399999999999</c:v>
                </c:pt>
                <c:pt idx="7">
                  <c:v>272.279</c:v>
                </c:pt>
                <c:pt idx="8">
                  <c:v>272.97500000000002</c:v>
                </c:pt>
                <c:pt idx="9">
                  <c:v>273.87099999999998</c:v>
                </c:pt>
                <c:pt idx="10">
                  <c:v>274.56700000000001</c:v>
                </c:pt>
                <c:pt idx="11">
                  <c:v>275.26400000000001</c:v>
                </c:pt>
                <c:pt idx="12">
                  <c:v>276.06</c:v>
                </c:pt>
                <c:pt idx="13">
                  <c:v>276.75599999999997</c:v>
                </c:pt>
                <c:pt idx="14">
                  <c:v>277.65199999999999</c:v>
                </c:pt>
                <c:pt idx="15">
                  <c:v>278.44799999999998</c:v>
                </c:pt>
                <c:pt idx="16">
                  <c:v>279.24400000000003</c:v>
                </c:pt>
                <c:pt idx="17">
                  <c:v>280.04000000000002</c:v>
                </c:pt>
              </c:numCache>
            </c:numRef>
          </c:xVal>
          <c:yVal>
            <c:numRef>
              <c:f>Sheet3!$D$26:$D$67</c:f>
              <c:numCache>
                <c:formatCode>General</c:formatCode>
                <c:ptCount val="42"/>
                <c:pt idx="0">
                  <c:v>2116290</c:v>
                </c:pt>
                <c:pt idx="1">
                  <c:v>2116290</c:v>
                </c:pt>
                <c:pt idx="2">
                  <c:v>2116290</c:v>
                </c:pt>
                <c:pt idx="3">
                  <c:v>2195080</c:v>
                </c:pt>
                <c:pt idx="4">
                  <c:v>2235570</c:v>
                </c:pt>
                <c:pt idx="5">
                  <c:v>2235570</c:v>
                </c:pt>
                <c:pt idx="6">
                  <c:v>2318800</c:v>
                </c:pt>
                <c:pt idx="7">
                  <c:v>2361570</c:v>
                </c:pt>
                <c:pt idx="8">
                  <c:v>2361570</c:v>
                </c:pt>
                <c:pt idx="9">
                  <c:v>2683880</c:v>
                </c:pt>
                <c:pt idx="10">
                  <c:v>2940700</c:v>
                </c:pt>
                <c:pt idx="11">
                  <c:v>3163750</c:v>
                </c:pt>
                <c:pt idx="12">
                  <c:v>3466490</c:v>
                </c:pt>
                <c:pt idx="13">
                  <c:v>3868250</c:v>
                </c:pt>
                <c:pt idx="14">
                  <c:v>4316590</c:v>
                </c:pt>
                <c:pt idx="15">
                  <c:v>4905730</c:v>
                </c:pt>
                <c:pt idx="16">
                  <c:v>5375160</c:v>
                </c:pt>
                <c:pt idx="17">
                  <c:v>5889510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03848"/>
        <c:axId val="143422192"/>
      </c:scatterChart>
      <c:scatterChart>
        <c:scatterStyle val="smoothMarker"/>
        <c:varyColors val="0"/>
        <c:ser>
          <c:idx val="0"/>
          <c:order val="0"/>
          <c:tx>
            <c:v>Results</c:v>
          </c:tx>
          <c:marker>
            <c:symbol val="none"/>
          </c:marker>
          <c:xVal>
            <c:numRef>
              <c:f>Sheet1!$M$9:$M$100</c:f>
              <c:numCache>
                <c:formatCode>General</c:formatCode>
                <c:ptCount val="92"/>
                <c:pt idx="0">
                  <c:v>260</c:v>
                </c:pt>
                <c:pt idx="1">
                  <c:v>260.40816326530614</c:v>
                </c:pt>
                <c:pt idx="2">
                  <c:v>260.81632653061223</c:v>
                </c:pt>
                <c:pt idx="3">
                  <c:v>261.22448979591837</c:v>
                </c:pt>
                <c:pt idx="4">
                  <c:v>261.63265306122452</c:v>
                </c:pt>
                <c:pt idx="5">
                  <c:v>262.0408163265306</c:v>
                </c:pt>
                <c:pt idx="6">
                  <c:v>262.44897959183675</c:v>
                </c:pt>
                <c:pt idx="7">
                  <c:v>262.85714285714283</c:v>
                </c:pt>
                <c:pt idx="8">
                  <c:v>263.26530612244898</c:v>
                </c:pt>
                <c:pt idx="9">
                  <c:v>263.67346938775512</c:v>
                </c:pt>
                <c:pt idx="10">
                  <c:v>264.08163265306121</c:v>
                </c:pt>
                <c:pt idx="11">
                  <c:v>264.48979591836735</c:v>
                </c:pt>
                <c:pt idx="12">
                  <c:v>264.89795918367349</c:v>
                </c:pt>
                <c:pt idx="13">
                  <c:v>265.30612244897958</c:v>
                </c:pt>
                <c:pt idx="14">
                  <c:v>265.71428571428572</c:v>
                </c:pt>
                <c:pt idx="15">
                  <c:v>266.12244897959181</c:v>
                </c:pt>
                <c:pt idx="16">
                  <c:v>266.53061224489795</c:v>
                </c:pt>
                <c:pt idx="17">
                  <c:v>266.9387755102041</c:v>
                </c:pt>
                <c:pt idx="18">
                  <c:v>267.34693877551018</c:v>
                </c:pt>
                <c:pt idx="19">
                  <c:v>267.75510204081633</c:v>
                </c:pt>
                <c:pt idx="20">
                  <c:v>268.16326530612247</c:v>
                </c:pt>
                <c:pt idx="21">
                  <c:v>268.57142857142856</c:v>
                </c:pt>
                <c:pt idx="22">
                  <c:v>268.9795918367347</c:v>
                </c:pt>
                <c:pt idx="23">
                  <c:v>269.38775510204084</c:v>
                </c:pt>
                <c:pt idx="24">
                  <c:v>269.79591836734693</c:v>
                </c:pt>
                <c:pt idx="25">
                  <c:v>270.20408163265307</c:v>
                </c:pt>
                <c:pt idx="26">
                  <c:v>270.61224489795916</c:v>
                </c:pt>
                <c:pt idx="27">
                  <c:v>271.0204081632653</c:v>
                </c:pt>
                <c:pt idx="28">
                  <c:v>271.42857142857144</c:v>
                </c:pt>
                <c:pt idx="29">
                  <c:v>271.83673469387753</c:v>
                </c:pt>
                <c:pt idx="30">
                  <c:v>272.24489795918367</c:v>
                </c:pt>
                <c:pt idx="31">
                  <c:v>272.65306122448982</c:v>
                </c:pt>
                <c:pt idx="32">
                  <c:v>273.0612244897959</c:v>
                </c:pt>
                <c:pt idx="33">
                  <c:v>273.46938775510205</c:v>
                </c:pt>
                <c:pt idx="34">
                  <c:v>273.87755102040819</c:v>
                </c:pt>
                <c:pt idx="35">
                  <c:v>274.28571428571428</c:v>
                </c:pt>
                <c:pt idx="36">
                  <c:v>274.69387755102042</c:v>
                </c:pt>
                <c:pt idx="37">
                  <c:v>275.10204081632651</c:v>
                </c:pt>
                <c:pt idx="38">
                  <c:v>275.51020408163265</c:v>
                </c:pt>
                <c:pt idx="39">
                  <c:v>275.91836734693879</c:v>
                </c:pt>
                <c:pt idx="40">
                  <c:v>276.32653061224488</c:v>
                </c:pt>
                <c:pt idx="41">
                  <c:v>276.73469387755102</c:v>
                </c:pt>
                <c:pt idx="42">
                  <c:v>277.14285714285717</c:v>
                </c:pt>
                <c:pt idx="43">
                  <c:v>277.55102040816325</c:v>
                </c:pt>
                <c:pt idx="44">
                  <c:v>277.9591836734694</c:v>
                </c:pt>
                <c:pt idx="45">
                  <c:v>278.36734693877554</c:v>
                </c:pt>
                <c:pt idx="46">
                  <c:v>278.77551020408163</c:v>
                </c:pt>
                <c:pt idx="47">
                  <c:v>279.18367346938777</c:v>
                </c:pt>
                <c:pt idx="48">
                  <c:v>279.59183673469386</c:v>
                </c:pt>
                <c:pt idx="49">
                  <c:v>280</c:v>
                </c:pt>
              </c:numCache>
            </c:numRef>
          </c:xVal>
          <c:yVal>
            <c:numRef>
              <c:f>Sheet1!$N$9:$N$100</c:f>
              <c:numCache>
                <c:formatCode>General</c:formatCode>
                <c:ptCount val="92"/>
                <c:pt idx="0">
                  <c:v>1704919.6746587995</c:v>
                </c:pt>
                <c:pt idx="1">
                  <c:v>1728617.1630165754</c:v>
                </c:pt>
                <c:pt idx="2">
                  <c:v>1752699.4614903145</c:v>
                </c:pt>
                <c:pt idx="3">
                  <c:v>1777044.4127324966</c:v>
                </c:pt>
                <c:pt idx="4">
                  <c:v>1801653.5611045191</c:v>
                </c:pt>
                <c:pt idx="5">
                  <c:v>1826528.8903769355</c:v>
                </c:pt>
                <c:pt idx="6">
                  <c:v>1851672.392343634</c:v>
                </c:pt>
                <c:pt idx="7">
                  <c:v>1877086.0652218894</c:v>
                </c:pt>
                <c:pt idx="8">
                  <c:v>1902771.913581396</c:v>
                </c:pt>
                <c:pt idx="9">
                  <c:v>1928731.9482770327</c:v>
                </c:pt>
                <c:pt idx="10">
                  <c:v>1954968.1863799067</c:v>
                </c:pt>
                <c:pt idx="11">
                  <c:v>1981482.6511065906</c:v>
                </c:pt>
                <c:pt idx="12">
                  <c:v>2008277.3717464278</c:v>
                </c:pt>
                <c:pt idx="13">
                  <c:v>2035354.3835870468</c:v>
                </c:pt>
                <c:pt idx="14">
                  <c:v>2062715.7278378955</c:v>
                </c:pt>
                <c:pt idx="15">
                  <c:v>2090363.4515518288</c:v>
                </c:pt>
                <c:pt idx="16">
                  <c:v>2118299.6075447272</c:v>
                </c:pt>
                <c:pt idx="17">
                  <c:v>2146526.2543130619</c:v>
                </c:pt>
                <c:pt idx="18">
                  <c:v>2175045.4559494355</c:v>
                </c:pt>
                <c:pt idx="19">
                  <c:v>2203859.2820560136</c:v>
                </c:pt>
                <c:pt idx="20">
                  <c:v>2232969.8076558169</c:v>
                </c:pt>
                <c:pt idx="21">
                  <c:v>2262379.1131018652</c:v>
                </c:pt>
                <c:pt idx="22">
                  <c:v>2292089.2839841694</c:v>
                </c:pt>
                <c:pt idx="23">
                  <c:v>2322102.4110343875</c:v>
                </c:pt>
                <c:pt idx="24">
                  <c:v>2352420.5900283353</c:v>
                </c:pt>
                <c:pt idx="25">
                  <c:v>2383045.9216861348</c:v>
                </c:pt>
                <c:pt idx="26">
                  <c:v>2413980.5115700262</c:v>
                </c:pt>
                <c:pt idx="27">
                  <c:v>2445226.4699798557</c:v>
                </c:pt>
                <c:pt idx="28">
                  <c:v>2476785.9118461376</c:v>
                </c:pt>
                <c:pt idx="29">
                  <c:v>2508660.9566206653</c:v>
                </c:pt>
                <c:pt idx="30">
                  <c:v>2540853.7281647334</c:v>
                </c:pt>
                <c:pt idx="31">
                  <c:v>2573366.3546347483</c:v>
                </c:pt>
                <c:pt idx="32">
                  <c:v>2606200.9683654392</c:v>
                </c:pt>
                <c:pt idx="33">
                  <c:v>2729343.7765592011</c:v>
                </c:pt>
                <c:pt idx="34">
                  <c:v>2840317.7641152437</c:v>
                </c:pt>
                <c:pt idx="35">
                  <c:v>2955958.9410964018</c:v>
                </c:pt>
                <c:pt idx="36">
                  <c:v>3076611.5878497567</c:v>
                </c:pt>
                <c:pt idx="37">
                  <c:v>3202528.5266368049</c:v>
                </c:pt>
                <c:pt idx="38">
                  <c:v>3333977.7998394845</c:v>
                </c:pt>
                <c:pt idx="39">
                  <c:v>3471244.6901503219</c:v>
                </c:pt>
                <c:pt idx="40">
                  <c:v>3614633.1463573407</c:v>
                </c:pt>
                <c:pt idx="41">
                  <c:v>3765995.10571894</c:v>
                </c:pt>
                <c:pt idx="42">
                  <c:v>3922802.3783160355</c:v>
                </c:pt>
                <c:pt idx="43">
                  <c:v>4086791.5571081843</c:v>
                </c:pt>
                <c:pt idx="44">
                  <c:v>4258362.9040922467</c:v>
                </c:pt>
                <c:pt idx="45">
                  <c:v>4437943.6539764218</c:v>
                </c:pt>
                <c:pt idx="46">
                  <c:v>4625992.2437483361</c:v>
                </c:pt>
                <c:pt idx="47">
                  <c:v>4823001.1922556292</c:v>
                </c:pt>
                <c:pt idx="48">
                  <c:v>5029500.2843281114</c:v>
                </c:pt>
                <c:pt idx="49">
                  <c:v>5246060.0947361588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03848"/>
        <c:axId val="143422192"/>
      </c:scatterChart>
      <c:valAx>
        <c:axId val="266003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 (K)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3422192"/>
        <c:crosses val="autoZero"/>
        <c:crossBetween val="midCat"/>
      </c:valAx>
      <c:valAx>
        <c:axId val="143422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Pressure (Pa)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6003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5555555555555554"/>
          <c:y val="0.41628280839895015"/>
          <c:w val="0.22777777777777777"/>
          <c:h val="0.3202121609798775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Results without flash</c:v>
          </c:tx>
          <c:spPr>
            <a:ln w="28575">
              <a:noFill/>
            </a:ln>
          </c:spPr>
          <c:xVal>
            <c:numRef>
              <c:f>Sheet3!$Q$8:$Q$57</c:f>
              <c:numCache>
                <c:formatCode>General</c:formatCode>
                <c:ptCount val="50"/>
                <c:pt idx="0">
                  <c:v>260</c:v>
                </c:pt>
                <c:pt idx="1">
                  <c:v>260.40816326530614</c:v>
                </c:pt>
                <c:pt idx="2">
                  <c:v>260.81632653061223</c:v>
                </c:pt>
                <c:pt idx="3">
                  <c:v>261.22448979591837</c:v>
                </c:pt>
                <c:pt idx="4">
                  <c:v>261.63265306122452</c:v>
                </c:pt>
                <c:pt idx="5">
                  <c:v>262.0408163265306</c:v>
                </c:pt>
                <c:pt idx="6">
                  <c:v>262.44897959183675</c:v>
                </c:pt>
                <c:pt idx="7">
                  <c:v>262.85714285714283</c:v>
                </c:pt>
                <c:pt idx="8">
                  <c:v>263.26530612244898</c:v>
                </c:pt>
                <c:pt idx="9">
                  <c:v>263.67346938775512</c:v>
                </c:pt>
                <c:pt idx="10">
                  <c:v>264.08163265306121</c:v>
                </c:pt>
                <c:pt idx="11">
                  <c:v>264.48979591836735</c:v>
                </c:pt>
                <c:pt idx="12">
                  <c:v>264.89795918367349</c:v>
                </c:pt>
                <c:pt idx="13">
                  <c:v>265.30612244897958</c:v>
                </c:pt>
                <c:pt idx="14">
                  <c:v>265.71428571428572</c:v>
                </c:pt>
                <c:pt idx="15">
                  <c:v>266.12244897959181</c:v>
                </c:pt>
                <c:pt idx="16">
                  <c:v>266.53061224489795</c:v>
                </c:pt>
                <c:pt idx="17">
                  <c:v>266.9387755102041</c:v>
                </c:pt>
                <c:pt idx="18">
                  <c:v>267.34693877551018</c:v>
                </c:pt>
                <c:pt idx="19">
                  <c:v>267.75510204081633</c:v>
                </c:pt>
                <c:pt idx="20">
                  <c:v>268.16326530612247</c:v>
                </c:pt>
                <c:pt idx="21">
                  <c:v>268.57142857142856</c:v>
                </c:pt>
                <c:pt idx="22">
                  <c:v>268.9795918367347</c:v>
                </c:pt>
                <c:pt idx="23">
                  <c:v>269.38775510204084</c:v>
                </c:pt>
                <c:pt idx="24">
                  <c:v>269.79591836734693</c:v>
                </c:pt>
                <c:pt idx="25">
                  <c:v>270.20408163265307</c:v>
                </c:pt>
                <c:pt idx="26">
                  <c:v>270.61224489795916</c:v>
                </c:pt>
                <c:pt idx="27">
                  <c:v>271.0204081632653</c:v>
                </c:pt>
                <c:pt idx="28">
                  <c:v>271.42857142857144</c:v>
                </c:pt>
                <c:pt idx="29">
                  <c:v>271.83673469387753</c:v>
                </c:pt>
                <c:pt idx="30">
                  <c:v>272.24489795918367</c:v>
                </c:pt>
                <c:pt idx="31">
                  <c:v>272.65306122448982</c:v>
                </c:pt>
                <c:pt idx="32">
                  <c:v>273.0612244897959</c:v>
                </c:pt>
                <c:pt idx="33">
                  <c:v>273.46938775510205</c:v>
                </c:pt>
                <c:pt idx="34">
                  <c:v>273.87755102040819</c:v>
                </c:pt>
                <c:pt idx="35">
                  <c:v>274.28571428571428</c:v>
                </c:pt>
                <c:pt idx="36">
                  <c:v>274.69387755102042</c:v>
                </c:pt>
                <c:pt idx="37">
                  <c:v>275.10204081632651</c:v>
                </c:pt>
                <c:pt idx="38">
                  <c:v>275.51020408163265</c:v>
                </c:pt>
                <c:pt idx="39">
                  <c:v>275.91836734693879</c:v>
                </c:pt>
                <c:pt idx="40">
                  <c:v>276.32653061224488</c:v>
                </c:pt>
                <c:pt idx="41">
                  <c:v>276.73469387755102</c:v>
                </c:pt>
                <c:pt idx="42">
                  <c:v>277.14285714285717</c:v>
                </c:pt>
                <c:pt idx="43">
                  <c:v>277.55102040816325</c:v>
                </c:pt>
                <c:pt idx="44">
                  <c:v>277.9591836734694</c:v>
                </c:pt>
                <c:pt idx="45">
                  <c:v>278.36734693877554</c:v>
                </c:pt>
                <c:pt idx="46">
                  <c:v>278.77551020408163</c:v>
                </c:pt>
                <c:pt idx="47">
                  <c:v>279.18367346938777</c:v>
                </c:pt>
                <c:pt idx="48">
                  <c:v>279.59183673469386</c:v>
                </c:pt>
                <c:pt idx="49">
                  <c:v>280</c:v>
                </c:pt>
              </c:numCache>
            </c:numRef>
          </c:xVal>
          <c:yVal>
            <c:numRef>
              <c:f>Sheet3!$R$8:$R$57</c:f>
              <c:numCache>
                <c:formatCode>General</c:formatCode>
                <c:ptCount val="50"/>
                <c:pt idx="0">
                  <c:v>1704281.9500558726</c:v>
                </c:pt>
                <c:pt idx="1">
                  <c:v>1728081.7766807061</c:v>
                </c:pt>
                <c:pt idx="2">
                  <c:v>1752140.9578913585</c:v>
                </c:pt>
                <c:pt idx="3">
                  <c:v>1776461.4349969369</c:v>
                </c:pt>
                <c:pt idx="4">
                  <c:v>1801045.1549861482</c:v>
                </c:pt>
                <c:pt idx="5">
                  <c:v>1825894.0704441709</c:v>
                </c:pt>
                <c:pt idx="6">
                  <c:v>1851010.1394674287</c:v>
                </c:pt>
                <c:pt idx="7">
                  <c:v>1876812.9746202547</c:v>
                </c:pt>
                <c:pt idx="8">
                  <c:v>1902485.7322670529</c:v>
                </c:pt>
                <c:pt idx="9">
                  <c:v>1928432.1228512102</c:v>
                </c:pt>
                <c:pt idx="10">
                  <c:v>1954654.1423356691</c:v>
                </c:pt>
                <c:pt idx="11">
                  <c:v>1981153.7921005781</c:v>
                </c:pt>
                <c:pt idx="12">
                  <c:v>2007933.0788481415</c:v>
                </c:pt>
                <c:pt idx="13">
                  <c:v>2034994.0145050623</c:v>
                </c:pt>
                <c:pt idx="14">
                  <c:v>2062338.6161224179</c:v>
                </c:pt>
                <c:pt idx="15">
                  <c:v>2089968.9057729412</c:v>
                </c:pt>
                <c:pt idx="16">
                  <c:v>2117886.9104457074</c:v>
                </c:pt>
                <c:pt idx="17">
                  <c:v>2146094.6619381174</c:v>
                </c:pt>
                <c:pt idx="18">
                  <c:v>2174594.1967451815</c:v>
                </c:pt>
                <c:pt idx="19">
                  <c:v>2203387.5559460334</c:v>
                </c:pt>
                <c:pt idx="20">
                  <c:v>2232476.7850876004</c:v>
                </c:pt>
                <c:pt idx="21">
                  <c:v>2261863.9340654197</c:v>
                </c:pt>
                <c:pt idx="22">
                  <c:v>2291551.0570015972</c:v>
                </c:pt>
                <c:pt idx="23">
                  <c:v>2321540.2121196901</c:v>
                </c:pt>
                <c:pt idx="24">
                  <c:v>2351833.4616166917</c:v>
                </c:pt>
                <c:pt idx="25">
                  <c:v>2382432.8715319023</c:v>
                </c:pt>
                <c:pt idx="26">
                  <c:v>2413340.5116126887</c:v>
                </c:pt>
                <c:pt idx="27">
                  <c:v>2444558.4551771246</c:v>
                </c:pt>
                <c:pt idx="28">
                  <c:v>2476088.7789734127</c:v>
                </c:pt>
                <c:pt idx="29">
                  <c:v>2507933.5630360274</c:v>
                </c:pt>
                <c:pt idx="30">
                  <c:v>2540094.8905386282</c:v>
                </c:pt>
                <c:pt idx="31">
                  <c:v>2572574.8476435579</c:v>
                </c:pt>
                <c:pt idx="32">
                  <c:v>2605375.5233479948</c:v>
                </c:pt>
                <c:pt idx="33">
                  <c:v>2729031.184152198</c:v>
                </c:pt>
                <c:pt idx="34">
                  <c:v>2839898.1324009509</c:v>
                </c:pt>
                <c:pt idx="35">
                  <c:v>2955541.1686302843</c:v>
                </c:pt>
                <c:pt idx="36">
                  <c:v>3076197.5641819565</c:v>
                </c:pt>
                <c:pt idx="37">
                  <c:v>3202119.3076602016</c:v>
                </c:pt>
                <c:pt idx="38">
                  <c:v>3333574.2632793034</c:v>
                </c:pt>
                <c:pt idx="39">
                  <c:v>3470847.4391078688</c:v>
                </c:pt>
                <c:pt idx="40">
                  <c:v>3614242.3768618493</c:v>
                </c:pt>
                <c:pt idx="41">
                  <c:v>3764082.6761566796</c:v>
                </c:pt>
                <c:pt idx="42">
                  <c:v>3920713.6674960805</c:v>
                </c:pt>
                <c:pt idx="43">
                  <c:v>4084504.2497568615</c:v>
                </c:pt>
                <c:pt idx="44">
                  <c:v>4255848.9095150335</c:v>
                </c:pt>
                <c:pt idx="45">
                  <c:v>4435169.9412382105</c:v>
                </c:pt>
                <c:pt idx="46">
                  <c:v>4622919.889121077</c:v>
                </c:pt>
                <c:pt idx="47">
                  <c:v>4819584.2331296904</c:v>
                </c:pt>
                <c:pt idx="48">
                  <c:v>5025684.3435909944</c:v>
                </c:pt>
                <c:pt idx="49">
                  <c:v>5241780.7303484622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421016"/>
        <c:axId val="143422584"/>
      </c:scatterChart>
      <c:scatterChart>
        <c:scatterStyle val="lineMarker"/>
        <c:varyColors val="0"/>
        <c:ser>
          <c:idx val="2"/>
          <c:order val="1"/>
          <c:tx>
            <c:v>number of iterations</c:v>
          </c:tx>
          <c:spPr>
            <a:ln w="28575">
              <a:noFill/>
            </a:ln>
          </c:spPr>
          <c:xVal>
            <c:numRef>
              <c:f>Sheet3!$Q$8:$Q$57</c:f>
              <c:numCache>
                <c:formatCode>General</c:formatCode>
                <c:ptCount val="50"/>
                <c:pt idx="0">
                  <c:v>260</c:v>
                </c:pt>
                <c:pt idx="1">
                  <c:v>260.40816326530614</c:v>
                </c:pt>
                <c:pt idx="2">
                  <c:v>260.81632653061223</c:v>
                </c:pt>
                <c:pt idx="3">
                  <c:v>261.22448979591837</c:v>
                </c:pt>
                <c:pt idx="4">
                  <c:v>261.63265306122452</c:v>
                </c:pt>
                <c:pt idx="5">
                  <c:v>262.0408163265306</c:v>
                </c:pt>
                <c:pt idx="6">
                  <c:v>262.44897959183675</c:v>
                </c:pt>
                <c:pt idx="7">
                  <c:v>262.85714285714283</c:v>
                </c:pt>
                <c:pt idx="8">
                  <c:v>263.26530612244898</c:v>
                </c:pt>
                <c:pt idx="9">
                  <c:v>263.67346938775512</c:v>
                </c:pt>
                <c:pt idx="10">
                  <c:v>264.08163265306121</c:v>
                </c:pt>
                <c:pt idx="11">
                  <c:v>264.48979591836735</c:v>
                </c:pt>
                <c:pt idx="12">
                  <c:v>264.89795918367349</c:v>
                </c:pt>
                <c:pt idx="13">
                  <c:v>265.30612244897958</c:v>
                </c:pt>
                <c:pt idx="14">
                  <c:v>265.71428571428572</c:v>
                </c:pt>
                <c:pt idx="15">
                  <c:v>266.12244897959181</c:v>
                </c:pt>
                <c:pt idx="16">
                  <c:v>266.53061224489795</c:v>
                </c:pt>
                <c:pt idx="17">
                  <c:v>266.9387755102041</c:v>
                </c:pt>
                <c:pt idx="18">
                  <c:v>267.34693877551018</c:v>
                </c:pt>
                <c:pt idx="19">
                  <c:v>267.75510204081633</c:v>
                </c:pt>
                <c:pt idx="20">
                  <c:v>268.16326530612247</c:v>
                </c:pt>
                <c:pt idx="21">
                  <c:v>268.57142857142856</c:v>
                </c:pt>
                <c:pt idx="22">
                  <c:v>268.9795918367347</c:v>
                </c:pt>
                <c:pt idx="23">
                  <c:v>269.38775510204084</c:v>
                </c:pt>
                <c:pt idx="24">
                  <c:v>269.79591836734693</c:v>
                </c:pt>
                <c:pt idx="25">
                  <c:v>270.20408163265307</c:v>
                </c:pt>
                <c:pt idx="26">
                  <c:v>270.61224489795916</c:v>
                </c:pt>
                <c:pt idx="27">
                  <c:v>271.0204081632653</c:v>
                </c:pt>
                <c:pt idx="28">
                  <c:v>271.42857142857144</c:v>
                </c:pt>
                <c:pt idx="29">
                  <c:v>271.83673469387753</c:v>
                </c:pt>
                <c:pt idx="30">
                  <c:v>272.24489795918367</c:v>
                </c:pt>
                <c:pt idx="31">
                  <c:v>272.65306122448982</c:v>
                </c:pt>
                <c:pt idx="32">
                  <c:v>273.0612244897959</c:v>
                </c:pt>
                <c:pt idx="33">
                  <c:v>273.46938775510205</c:v>
                </c:pt>
                <c:pt idx="34">
                  <c:v>273.87755102040819</c:v>
                </c:pt>
                <c:pt idx="35">
                  <c:v>274.28571428571428</c:v>
                </c:pt>
                <c:pt idx="36">
                  <c:v>274.69387755102042</c:v>
                </c:pt>
                <c:pt idx="37">
                  <c:v>275.10204081632651</c:v>
                </c:pt>
                <c:pt idx="38">
                  <c:v>275.51020408163265</c:v>
                </c:pt>
                <c:pt idx="39">
                  <c:v>275.91836734693879</c:v>
                </c:pt>
                <c:pt idx="40">
                  <c:v>276.32653061224488</c:v>
                </c:pt>
                <c:pt idx="41">
                  <c:v>276.73469387755102</c:v>
                </c:pt>
                <c:pt idx="42">
                  <c:v>277.14285714285717</c:v>
                </c:pt>
                <c:pt idx="43">
                  <c:v>277.55102040816325</c:v>
                </c:pt>
                <c:pt idx="44">
                  <c:v>277.9591836734694</c:v>
                </c:pt>
                <c:pt idx="45">
                  <c:v>278.36734693877554</c:v>
                </c:pt>
                <c:pt idx="46">
                  <c:v>278.77551020408163</c:v>
                </c:pt>
                <c:pt idx="47">
                  <c:v>279.18367346938777</c:v>
                </c:pt>
                <c:pt idx="48">
                  <c:v>279.59183673469386</c:v>
                </c:pt>
                <c:pt idx="49">
                  <c:v>280</c:v>
                </c:pt>
              </c:numCache>
            </c:numRef>
          </c:xVal>
          <c:yVal>
            <c:numRef>
              <c:f>Sheet3!$S$8:$S$57</c:f>
              <c:numCache>
                <c:formatCode>General</c:formatCode>
                <c:ptCount val="5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423368"/>
        <c:axId val="143422976"/>
      </c:scatterChart>
      <c:valAx>
        <c:axId val="143421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 (K)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3422584"/>
        <c:crosses val="autoZero"/>
        <c:crossBetween val="midCat"/>
      </c:valAx>
      <c:valAx>
        <c:axId val="143422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Pressure (Pa)</a:t>
                </a:r>
              </a:p>
            </c:rich>
          </c:tx>
          <c:layout/>
          <c:overlay val="0"/>
        </c:title>
        <c:numFmt formatCode="0.00E+00" sourceLinked="0"/>
        <c:majorTickMark val="out"/>
        <c:minorTickMark val="none"/>
        <c:tickLblPos val="nextTo"/>
        <c:crossAx val="143421016"/>
        <c:crosses val="autoZero"/>
        <c:crossBetween val="midCat"/>
      </c:valAx>
      <c:valAx>
        <c:axId val="1434229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iterations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3423368"/>
        <c:crosses val="max"/>
        <c:crossBetween val="midCat"/>
      </c:valAx>
      <c:valAx>
        <c:axId val="143423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34229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Results with flash</c:v>
          </c:tx>
          <c:spPr>
            <a:ln w="28575">
              <a:noFill/>
            </a:ln>
          </c:spPr>
          <c:xVal>
            <c:numRef>
              <c:f>Sheet3!$Q$8:$Q$57</c:f>
              <c:numCache>
                <c:formatCode>General</c:formatCode>
                <c:ptCount val="50"/>
                <c:pt idx="0">
                  <c:v>260</c:v>
                </c:pt>
                <c:pt idx="1">
                  <c:v>260.40816326530614</c:v>
                </c:pt>
                <c:pt idx="2">
                  <c:v>260.81632653061223</c:v>
                </c:pt>
                <c:pt idx="3">
                  <c:v>261.22448979591837</c:v>
                </c:pt>
                <c:pt idx="4">
                  <c:v>261.63265306122452</c:v>
                </c:pt>
                <c:pt idx="5">
                  <c:v>262.0408163265306</c:v>
                </c:pt>
                <c:pt idx="6">
                  <c:v>262.44897959183675</c:v>
                </c:pt>
                <c:pt idx="7">
                  <c:v>262.85714285714283</c:v>
                </c:pt>
                <c:pt idx="8">
                  <c:v>263.26530612244898</c:v>
                </c:pt>
                <c:pt idx="9">
                  <c:v>263.67346938775512</c:v>
                </c:pt>
                <c:pt idx="10">
                  <c:v>264.08163265306121</c:v>
                </c:pt>
                <c:pt idx="11">
                  <c:v>264.48979591836735</c:v>
                </c:pt>
                <c:pt idx="12">
                  <c:v>264.89795918367349</c:v>
                </c:pt>
                <c:pt idx="13">
                  <c:v>265.30612244897958</c:v>
                </c:pt>
                <c:pt idx="14">
                  <c:v>265.71428571428572</c:v>
                </c:pt>
                <c:pt idx="15">
                  <c:v>266.12244897959181</c:v>
                </c:pt>
                <c:pt idx="16">
                  <c:v>266.53061224489795</c:v>
                </c:pt>
                <c:pt idx="17">
                  <c:v>266.9387755102041</c:v>
                </c:pt>
                <c:pt idx="18">
                  <c:v>267.34693877551018</c:v>
                </c:pt>
                <c:pt idx="19">
                  <c:v>267.75510204081633</c:v>
                </c:pt>
                <c:pt idx="20">
                  <c:v>268.16326530612247</c:v>
                </c:pt>
                <c:pt idx="21">
                  <c:v>268.57142857142856</c:v>
                </c:pt>
                <c:pt idx="22">
                  <c:v>268.9795918367347</c:v>
                </c:pt>
                <c:pt idx="23">
                  <c:v>269.38775510204084</c:v>
                </c:pt>
                <c:pt idx="24">
                  <c:v>269.79591836734693</c:v>
                </c:pt>
                <c:pt idx="25">
                  <c:v>270.20408163265307</c:v>
                </c:pt>
                <c:pt idx="26">
                  <c:v>270.61224489795916</c:v>
                </c:pt>
                <c:pt idx="27">
                  <c:v>271.0204081632653</c:v>
                </c:pt>
                <c:pt idx="28">
                  <c:v>271.42857142857144</c:v>
                </c:pt>
                <c:pt idx="29">
                  <c:v>271.83673469387753</c:v>
                </c:pt>
                <c:pt idx="30">
                  <c:v>272.24489795918367</c:v>
                </c:pt>
                <c:pt idx="31">
                  <c:v>272.65306122448982</c:v>
                </c:pt>
                <c:pt idx="32">
                  <c:v>273.0612244897959</c:v>
                </c:pt>
                <c:pt idx="33">
                  <c:v>273.46938775510205</c:v>
                </c:pt>
                <c:pt idx="34">
                  <c:v>273.87755102040819</c:v>
                </c:pt>
                <c:pt idx="35">
                  <c:v>274.28571428571428</c:v>
                </c:pt>
                <c:pt idx="36">
                  <c:v>274.69387755102042</c:v>
                </c:pt>
                <c:pt idx="37">
                  <c:v>275.10204081632651</c:v>
                </c:pt>
                <c:pt idx="38">
                  <c:v>275.51020408163265</c:v>
                </c:pt>
                <c:pt idx="39">
                  <c:v>275.91836734693879</c:v>
                </c:pt>
                <c:pt idx="40">
                  <c:v>276.32653061224488</c:v>
                </c:pt>
                <c:pt idx="41">
                  <c:v>276.73469387755102</c:v>
                </c:pt>
                <c:pt idx="42">
                  <c:v>277.14285714285717</c:v>
                </c:pt>
                <c:pt idx="43">
                  <c:v>277.55102040816325</c:v>
                </c:pt>
                <c:pt idx="44">
                  <c:v>277.9591836734694</c:v>
                </c:pt>
                <c:pt idx="45">
                  <c:v>278.36734693877554</c:v>
                </c:pt>
                <c:pt idx="46">
                  <c:v>278.77551020408163</c:v>
                </c:pt>
                <c:pt idx="47">
                  <c:v>279.18367346938777</c:v>
                </c:pt>
                <c:pt idx="48">
                  <c:v>279.59183673469386</c:v>
                </c:pt>
                <c:pt idx="49">
                  <c:v>280</c:v>
                </c:pt>
              </c:numCache>
            </c:numRef>
          </c:xVal>
          <c:yVal>
            <c:numRef>
              <c:f>Sheet3!$V$8:$V$57</c:f>
              <c:numCache>
                <c:formatCode>General</c:formatCode>
                <c:ptCount val="50"/>
                <c:pt idx="1">
                  <c:v>1728633.6560684445</c:v>
                </c:pt>
                <c:pt idx="2">
                  <c:v>1752716.1978788436</c:v>
                </c:pt>
                <c:pt idx="3">
                  <c:v>1777061.3952599249</c:v>
                </c:pt>
                <c:pt idx="4">
                  <c:v>1801670.7927741767</c:v>
                </c:pt>
                <c:pt idx="5">
                  <c:v>1826546.3742224169</c:v>
                </c:pt>
                <c:pt idx="6">
                  <c:v>1851690.131428445</c:v>
                </c:pt>
                <c:pt idx="7">
                  <c:v>1877104.0626396784</c:v>
                </c:pt>
                <c:pt idx="8">
                  <c:v>1902790.1724561811</c:v>
                </c:pt>
                <c:pt idx="9">
                  <c:v>1928750.4717634346</c:v>
                </c:pt>
                <c:pt idx="10">
                  <c:v>1954986.9776633843</c:v>
                </c:pt>
                <c:pt idx="11">
                  <c:v>1981501.7134036713</c:v>
                </c:pt>
                <c:pt idx="12">
                  <c:v>2008296.7083049433</c:v>
                </c:pt>
                <c:pt idx="13">
                  <c:v>2035373.9976863663</c:v>
                </c:pt>
                <c:pt idx="14">
                  <c:v>2062735.6227891636</c:v>
                </c:pt>
                <c:pt idx="15">
                  <c:v>2090383.6306982075</c:v>
                </c:pt>
                <c:pt idx="16">
                  <c:v>2118320.0742616178</c:v>
                </c:pt>
                <c:pt idx="17">
                  <c:v>2146547.0120083583</c:v>
                </c:pt>
                <c:pt idx="18">
                  <c:v>2175066.5080637541</c:v>
                </c:pt>
                <c:pt idx="19">
                  <c:v>2203880.6320629334</c:v>
                </c:pt>
                <c:pt idx="20">
                  <c:v>2232991.4590621237</c:v>
                </c:pt>
                <c:pt idx="21">
                  <c:v>2262401.0694477828</c:v>
                </c:pt>
                <c:pt idx="22">
                  <c:v>2292111.548843604</c:v>
                </c:pt>
                <c:pt idx="23">
                  <c:v>2322124.9880151753</c:v>
                </c:pt>
                <c:pt idx="24">
                  <c:v>2352443.482772476</c:v>
                </c:pt>
                <c:pt idx="25">
                  <c:v>2383069.1338700294</c:v>
                </c:pt>
                <c:pt idx="26">
                  <c:v>2414004.0469047301</c:v>
                </c:pt>
                <c:pt idx="27">
                  <c:v>2445250.3322113059</c:v>
                </c:pt>
                <c:pt idx="28">
                  <c:v>2476810.1047554105</c:v>
                </c:pt>
                <c:pt idx="29">
                  <c:v>2508685.4840242099</c:v>
                </c:pt>
                <c:pt idx="30">
                  <c:v>2540878.5939146141</c:v>
                </c:pt>
                <c:pt idx="31">
                  <c:v>2573391.5626188931</c:v>
                </c:pt>
                <c:pt idx="32">
                  <c:v>2606226.5225078692</c:v>
                </c:pt>
                <c:pt idx="33">
                  <c:v>2729370.9932663338</c:v>
                </c:pt>
                <c:pt idx="34">
                  <c:v>2840346.2157391044</c:v>
                </c:pt>
                <c:pt idx="35">
                  <c:v>2955988.6859549182</c:v>
                </c:pt>
                <c:pt idx="36">
                  <c:v>3076642.6934553361</c:v>
                </c:pt>
                <c:pt idx="37">
                  <c:v>3202561.0649399557</c:v>
                </c:pt>
                <c:pt idx="38">
                  <c:v>3334011.8475417765</c:v>
                </c:pt>
                <c:pt idx="39">
                  <c:v>3471280.3291023821</c:v>
                </c:pt>
                <c:pt idx="40">
                  <c:v>3614670.4639979531</c:v>
                </c:pt>
                <c:pt idx="41">
                  <c:v>3766034.2424688321</c:v>
                </c:pt>
                <c:pt idx="42">
                  <c:v>3922843.3933275347</c:v>
                </c:pt>
                <c:pt idx="43">
                  <c:v>4086834.5583520876</c:v>
                </c:pt>
                <c:pt idx="44">
                  <c:v>4258408.0075917309</c:v>
                </c:pt>
                <c:pt idx="45">
                  <c:v>4437990.9844481405</c:v>
                </c:pt>
                <c:pt idx="46">
                  <c:v>4626041.9354220498</c:v>
                </c:pt>
                <c:pt idx="47">
                  <c:v>4823053.3897842048</c:v>
                </c:pt>
                <c:pt idx="48">
                  <c:v>5029555.143797921</c:v>
                </c:pt>
                <c:pt idx="49">
                  <c:v>5246117.7847892642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424152"/>
        <c:axId val="143424544"/>
      </c:scatterChart>
      <c:scatterChart>
        <c:scatterStyle val="lineMarker"/>
        <c:varyColors val="0"/>
        <c:ser>
          <c:idx val="2"/>
          <c:order val="1"/>
          <c:tx>
            <c:v>number of iterations</c:v>
          </c:tx>
          <c:spPr>
            <a:ln w="28575">
              <a:noFill/>
            </a:ln>
          </c:spPr>
          <c:xVal>
            <c:numRef>
              <c:f>Sheet3!$Q$8:$Q$57</c:f>
              <c:numCache>
                <c:formatCode>General</c:formatCode>
                <c:ptCount val="50"/>
                <c:pt idx="0">
                  <c:v>260</c:v>
                </c:pt>
                <c:pt idx="1">
                  <c:v>260.40816326530614</c:v>
                </c:pt>
                <c:pt idx="2">
                  <c:v>260.81632653061223</c:v>
                </c:pt>
                <c:pt idx="3">
                  <c:v>261.22448979591837</c:v>
                </c:pt>
                <c:pt idx="4">
                  <c:v>261.63265306122452</c:v>
                </c:pt>
                <c:pt idx="5">
                  <c:v>262.0408163265306</c:v>
                </c:pt>
                <c:pt idx="6">
                  <c:v>262.44897959183675</c:v>
                </c:pt>
                <c:pt idx="7">
                  <c:v>262.85714285714283</c:v>
                </c:pt>
                <c:pt idx="8">
                  <c:v>263.26530612244898</c:v>
                </c:pt>
                <c:pt idx="9">
                  <c:v>263.67346938775512</c:v>
                </c:pt>
                <c:pt idx="10">
                  <c:v>264.08163265306121</c:v>
                </c:pt>
                <c:pt idx="11">
                  <c:v>264.48979591836735</c:v>
                </c:pt>
                <c:pt idx="12">
                  <c:v>264.89795918367349</c:v>
                </c:pt>
                <c:pt idx="13">
                  <c:v>265.30612244897958</c:v>
                </c:pt>
                <c:pt idx="14">
                  <c:v>265.71428571428572</c:v>
                </c:pt>
                <c:pt idx="15">
                  <c:v>266.12244897959181</c:v>
                </c:pt>
                <c:pt idx="16">
                  <c:v>266.53061224489795</c:v>
                </c:pt>
                <c:pt idx="17">
                  <c:v>266.9387755102041</c:v>
                </c:pt>
                <c:pt idx="18">
                  <c:v>267.34693877551018</c:v>
                </c:pt>
                <c:pt idx="19">
                  <c:v>267.75510204081633</c:v>
                </c:pt>
                <c:pt idx="20">
                  <c:v>268.16326530612247</c:v>
                </c:pt>
                <c:pt idx="21">
                  <c:v>268.57142857142856</c:v>
                </c:pt>
                <c:pt idx="22">
                  <c:v>268.9795918367347</c:v>
                </c:pt>
                <c:pt idx="23">
                  <c:v>269.38775510204084</c:v>
                </c:pt>
                <c:pt idx="24">
                  <c:v>269.79591836734693</c:v>
                </c:pt>
                <c:pt idx="25">
                  <c:v>270.20408163265307</c:v>
                </c:pt>
                <c:pt idx="26">
                  <c:v>270.61224489795916</c:v>
                </c:pt>
                <c:pt idx="27">
                  <c:v>271.0204081632653</c:v>
                </c:pt>
                <c:pt idx="28">
                  <c:v>271.42857142857144</c:v>
                </c:pt>
                <c:pt idx="29">
                  <c:v>271.83673469387753</c:v>
                </c:pt>
                <c:pt idx="30">
                  <c:v>272.24489795918367</c:v>
                </c:pt>
                <c:pt idx="31">
                  <c:v>272.65306122448982</c:v>
                </c:pt>
                <c:pt idx="32">
                  <c:v>273.0612244897959</c:v>
                </c:pt>
                <c:pt idx="33">
                  <c:v>273.46938775510205</c:v>
                </c:pt>
                <c:pt idx="34">
                  <c:v>273.87755102040819</c:v>
                </c:pt>
                <c:pt idx="35">
                  <c:v>274.28571428571428</c:v>
                </c:pt>
                <c:pt idx="36">
                  <c:v>274.69387755102042</c:v>
                </c:pt>
                <c:pt idx="37">
                  <c:v>275.10204081632651</c:v>
                </c:pt>
                <c:pt idx="38">
                  <c:v>275.51020408163265</c:v>
                </c:pt>
                <c:pt idx="39">
                  <c:v>275.91836734693879</c:v>
                </c:pt>
                <c:pt idx="40">
                  <c:v>276.32653061224488</c:v>
                </c:pt>
                <c:pt idx="41">
                  <c:v>276.73469387755102</c:v>
                </c:pt>
                <c:pt idx="42">
                  <c:v>277.14285714285717</c:v>
                </c:pt>
                <c:pt idx="43">
                  <c:v>277.55102040816325</c:v>
                </c:pt>
                <c:pt idx="44">
                  <c:v>277.9591836734694</c:v>
                </c:pt>
                <c:pt idx="45">
                  <c:v>278.36734693877554</c:v>
                </c:pt>
                <c:pt idx="46">
                  <c:v>278.77551020408163</c:v>
                </c:pt>
                <c:pt idx="47">
                  <c:v>279.18367346938777</c:v>
                </c:pt>
                <c:pt idx="48">
                  <c:v>279.59183673469386</c:v>
                </c:pt>
                <c:pt idx="49">
                  <c:v>280</c:v>
                </c:pt>
              </c:numCache>
            </c:numRef>
          </c:xVal>
          <c:yVal>
            <c:numRef>
              <c:f>Sheet3!$W$8:$W$57</c:f>
              <c:numCache>
                <c:formatCode>General</c:formatCode>
                <c:ptCount val="50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425328"/>
        <c:axId val="143424936"/>
      </c:scatterChart>
      <c:valAx>
        <c:axId val="143424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 (K)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3424544"/>
        <c:crosses val="autoZero"/>
        <c:crossBetween val="midCat"/>
      </c:valAx>
      <c:valAx>
        <c:axId val="143424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Temperature (K)</a:t>
                </a:r>
              </a:p>
            </c:rich>
          </c:tx>
          <c:layout/>
          <c:overlay val="0"/>
        </c:title>
        <c:numFmt formatCode="0.00E+00" sourceLinked="0"/>
        <c:majorTickMark val="out"/>
        <c:minorTickMark val="none"/>
        <c:tickLblPos val="nextTo"/>
        <c:crossAx val="143424152"/>
        <c:crosses val="autoZero"/>
        <c:crossBetween val="midCat"/>
      </c:valAx>
      <c:valAx>
        <c:axId val="14342493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iterations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3425328"/>
        <c:crosses val="max"/>
        <c:crossBetween val="midCat"/>
      </c:valAx>
      <c:valAx>
        <c:axId val="143425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34249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Sheet2!$B$10:$B$59</c:f>
              <c:numCache>
                <c:formatCode>General</c:formatCode>
                <c:ptCount val="50"/>
                <c:pt idx="0">
                  <c:v>260</c:v>
                </c:pt>
                <c:pt idx="1">
                  <c:v>260.40816326530614</c:v>
                </c:pt>
                <c:pt idx="2">
                  <c:v>260.81632653061223</c:v>
                </c:pt>
                <c:pt idx="3">
                  <c:v>261.22448979591837</c:v>
                </c:pt>
                <c:pt idx="4">
                  <c:v>261.63265306122452</c:v>
                </c:pt>
                <c:pt idx="5">
                  <c:v>262.0408163265306</c:v>
                </c:pt>
                <c:pt idx="6">
                  <c:v>262.44897959183675</c:v>
                </c:pt>
                <c:pt idx="7">
                  <c:v>262.85714285714283</c:v>
                </c:pt>
                <c:pt idx="8">
                  <c:v>263.26530612244898</c:v>
                </c:pt>
                <c:pt idx="9">
                  <c:v>263.67346938775512</c:v>
                </c:pt>
                <c:pt idx="10">
                  <c:v>264.08163265306121</c:v>
                </c:pt>
                <c:pt idx="11">
                  <c:v>264.48979591836735</c:v>
                </c:pt>
                <c:pt idx="12">
                  <c:v>264.89795918367349</c:v>
                </c:pt>
                <c:pt idx="13">
                  <c:v>265.30612244897958</c:v>
                </c:pt>
                <c:pt idx="14">
                  <c:v>265.71428571428572</c:v>
                </c:pt>
                <c:pt idx="15">
                  <c:v>266.12244897959181</c:v>
                </c:pt>
                <c:pt idx="16">
                  <c:v>266.53061224489795</c:v>
                </c:pt>
                <c:pt idx="17">
                  <c:v>266.9387755102041</c:v>
                </c:pt>
                <c:pt idx="18">
                  <c:v>267.34693877551018</c:v>
                </c:pt>
                <c:pt idx="19">
                  <c:v>267.75510204081633</c:v>
                </c:pt>
                <c:pt idx="20">
                  <c:v>268.16326530612247</c:v>
                </c:pt>
                <c:pt idx="21">
                  <c:v>268.57142857142856</c:v>
                </c:pt>
                <c:pt idx="22">
                  <c:v>268.9795918367347</c:v>
                </c:pt>
                <c:pt idx="23">
                  <c:v>269.38775510204084</c:v>
                </c:pt>
                <c:pt idx="24">
                  <c:v>269.79591836734693</c:v>
                </c:pt>
                <c:pt idx="25">
                  <c:v>270.20408163265307</c:v>
                </c:pt>
                <c:pt idx="26">
                  <c:v>270.61224489795916</c:v>
                </c:pt>
                <c:pt idx="27">
                  <c:v>271.0204081632653</c:v>
                </c:pt>
                <c:pt idx="28">
                  <c:v>271.42857142857144</c:v>
                </c:pt>
                <c:pt idx="29">
                  <c:v>271.83673469387753</c:v>
                </c:pt>
                <c:pt idx="30">
                  <c:v>272.24489795918367</c:v>
                </c:pt>
                <c:pt idx="31">
                  <c:v>272.65306122448982</c:v>
                </c:pt>
                <c:pt idx="32">
                  <c:v>273.0612244897959</c:v>
                </c:pt>
                <c:pt idx="33">
                  <c:v>273.46938775510205</c:v>
                </c:pt>
                <c:pt idx="34">
                  <c:v>273.87755102040819</c:v>
                </c:pt>
                <c:pt idx="35">
                  <c:v>274.28571428571428</c:v>
                </c:pt>
                <c:pt idx="36">
                  <c:v>274.69387755102042</c:v>
                </c:pt>
                <c:pt idx="37">
                  <c:v>275.10204081632651</c:v>
                </c:pt>
                <c:pt idx="38">
                  <c:v>275.51020408163265</c:v>
                </c:pt>
                <c:pt idx="39">
                  <c:v>275.91836734693879</c:v>
                </c:pt>
                <c:pt idx="40">
                  <c:v>276.32653061224488</c:v>
                </c:pt>
                <c:pt idx="41">
                  <c:v>276.73469387755102</c:v>
                </c:pt>
                <c:pt idx="42">
                  <c:v>277.14285714285717</c:v>
                </c:pt>
                <c:pt idx="43">
                  <c:v>277.55102040816325</c:v>
                </c:pt>
                <c:pt idx="44">
                  <c:v>277.9591836734694</c:v>
                </c:pt>
                <c:pt idx="45">
                  <c:v>278.36734693877554</c:v>
                </c:pt>
                <c:pt idx="46">
                  <c:v>278.77551020408163</c:v>
                </c:pt>
                <c:pt idx="47">
                  <c:v>279.18367346938777</c:v>
                </c:pt>
                <c:pt idx="48">
                  <c:v>279.59183673469386</c:v>
                </c:pt>
                <c:pt idx="49">
                  <c:v>280</c:v>
                </c:pt>
              </c:numCache>
            </c:numRef>
          </c:xVal>
          <c:yVal>
            <c:numRef>
              <c:f>Sheet2!$C$10:$C$59</c:f>
              <c:numCache>
                <c:formatCode>General</c:formatCode>
                <c:ptCount val="50"/>
                <c:pt idx="0">
                  <c:v>1704935.8758091906</c:v>
                </c:pt>
                <c:pt idx="1">
                  <c:v>1728633.6560684445</c:v>
                </c:pt>
                <c:pt idx="2">
                  <c:v>1752716.1978788436</c:v>
                </c:pt>
                <c:pt idx="3">
                  <c:v>1777061.3952599249</c:v>
                </c:pt>
                <c:pt idx="4">
                  <c:v>1801670.7927741767</c:v>
                </c:pt>
                <c:pt idx="5">
                  <c:v>1826546.3742224169</c:v>
                </c:pt>
                <c:pt idx="6">
                  <c:v>1851690.131428445</c:v>
                </c:pt>
                <c:pt idx="7">
                  <c:v>1877104.0626396784</c:v>
                </c:pt>
                <c:pt idx="8">
                  <c:v>1902790.1724561811</c:v>
                </c:pt>
                <c:pt idx="9">
                  <c:v>1928750.4717634346</c:v>
                </c:pt>
                <c:pt idx="10">
                  <c:v>1954986.9776633843</c:v>
                </c:pt>
                <c:pt idx="11">
                  <c:v>1981501.7134036713</c:v>
                </c:pt>
                <c:pt idx="12">
                  <c:v>2008296.7083049433</c:v>
                </c:pt>
                <c:pt idx="13">
                  <c:v>2035373.9976863663</c:v>
                </c:pt>
                <c:pt idx="14">
                  <c:v>2062735.6227891636</c:v>
                </c:pt>
                <c:pt idx="15">
                  <c:v>2090383.6306982075</c:v>
                </c:pt>
                <c:pt idx="16">
                  <c:v>2118320.0742616178</c:v>
                </c:pt>
                <c:pt idx="17">
                  <c:v>2146547.0120083583</c:v>
                </c:pt>
                <c:pt idx="18">
                  <c:v>2175066.5080637541</c:v>
                </c:pt>
                <c:pt idx="19">
                  <c:v>2203880.6320629334</c:v>
                </c:pt>
                <c:pt idx="20">
                  <c:v>2232991.4590621237</c:v>
                </c:pt>
                <c:pt idx="21">
                  <c:v>2262401.0694477828</c:v>
                </c:pt>
                <c:pt idx="22">
                  <c:v>2292111.548843604</c:v>
                </c:pt>
                <c:pt idx="23">
                  <c:v>2322124.9880151753</c:v>
                </c:pt>
                <c:pt idx="24">
                  <c:v>2352443.482772476</c:v>
                </c:pt>
                <c:pt idx="25">
                  <c:v>2383069.1338700294</c:v>
                </c:pt>
                <c:pt idx="26">
                  <c:v>2414004.0469047301</c:v>
                </c:pt>
                <c:pt idx="27">
                  <c:v>2445250.3322113059</c:v>
                </c:pt>
                <c:pt idx="28">
                  <c:v>2476810.1047554105</c:v>
                </c:pt>
                <c:pt idx="29">
                  <c:v>2508685.4840242099</c:v>
                </c:pt>
                <c:pt idx="30">
                  <c:v>2540878.5939146141</c:v>
                </c:pt>
                <c:pt idx="31">
                  <c:v>2573391.5626188931</c:v>
                </c:pt>
                <c:pt idx="32">
                  <c:v>2606226.5225078692</c:v>
                </c:pt>
                <c:pt idx="33">
                  <c:v>2729370.9932663338</c:v>
                </c:pt>
                <c:pt idx="34">
                  <c:v>2840346.2157391044</c:v>
                </c:pt>
                <c:pt idx="35">
                  <c:v>2955988.6859549182</c:v>
                </c:pt>
                <c:pt idx="36">
                  <c:v>3076642.6934553361</c:v>
                </c:pt>
                <c:pt idx="37">
                  <c:v>3202561.0649399557</c:v>
                </c:pt>
                <c:pt idx="38">
                  <c:v>3334011.8475417765</c:v>
                </c:pt>
                <c:pt idx="39">
                  <c:v>3471280.3291023821</c:v>
                </c:pt>
                <c:pt idx="40">
                  <c:v>3614670.4639979531</c:v>
                </c:pt>
                <c:pt idx="41">
                  <c:v>3766034.2424688321</c:v>
                </c:pt>
                <c:pt idx="42">
                  <c:v>3922843.3933275347</c:v>
                </c:pt>
                <c:pt idx="43">
                  <c:v>4086834.5583520876</c:v>
                </c:pt>
                <c:pt idx="44">
                  <c:v>4258408.0075917309</c:v>
                </c:pt>
                <c:pt idx="45">
                  <c:v>4437990.9844481405</c:v>
                </c:pt>
                <c:pt idx="46">
                  <c:v>4626041.9354220498</c:v>
                </c:pt>
                <c:pt idx="47">
                  <c:v>4823053.3897842048</c:v>
                </c:pt>
                <c:pt idx="48">
                  <c:v>5029555.143797921</c:v>
                </c:pt>
                <c:pt idx="49">
                  <c:v>5246117.7847892642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131736"/>
        <c:axId val="266132128"/>
      </c:scatterChart>
      <c:valAx>
        <c:axId val="266131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6132128"/>
        <c:crosses val="autoZero"/>
        <c:crossBetween val="midCat"/>
      </c:valAx>
      <c:valAx>
        <c:axId val="266132128"/>
        <c:scaling>
          <c:logBase val="10"/>
          <c:orientation val="minMax"/>
          <c:min val="10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1317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Calculated results using flash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Sheet4!$A$3:$A$52</c:f>
              <c:numCache>
                <c:formatCode>General</c:formatCode>
                <c:ptCount val="50"/>
                <c:pt idx="0">
                  <c:v>260</c:v>
                </c:pt>
                <c:pt idx="1">
                  <c:v>260.40816326530614</c:v>
                </c:pt>
                <c:pt idx="2">
                  <c:v>260.81632653061223</c:v>
                </c:pt>
                <c:pt idx="3">
                  <c:v>261.22448979591837</c:v>
                </c:pt>
                <c:pt idx="4">
                  <c:v>261.63265306122452</c:v>
                </c:pt>
                <c:pt idx="5">
                  <c:v>262.0408163265306</c:v>
                </c:pt>
                <c:pt idx="6">
                  <c:v>262.44897959183675</c:v>
                </c:pt>
                <c:pt idx="7">
                  <c:v>262.85714285714283</c:v>
                </c:pt>
                <c:pt idx="8">
                  <c:v>263.26530612244898</c:v>
                </c:pt>
                <c:pt idx="9">
                  <c:v>263.67346938775512</c:v>
                </c:pt>
                <c:pt idx="10">
                  <c:v>264.08163265306121</c:v>
                </c:pt>
                <c:pt idx="11">
                  <c:v>264.48979591836735</c:v>
                </c:pt>
                <c:pt idx="12">
                  <c:v>264.89795918367349</c:v>
                </c:pt>
                <c:pt idx="13">
                  <c:v>265.30612244897958</c:v>
                </c:pt>
                <c:pt idx="14">
                  <c:v>265.71428571428572</c:v>
                </c:pt>
                <c:pt idx="15">
                  <c:v>266.12244897959181</c:v>
                </c:pt>
                <c:pt idx="16">
                  <c:v>266.53061224489795</c:v>
                </c:pt>
                <c:pt idx="17">
                  <c:v>266.9387755102041</c:v>
                </c:pt>
                <c:pt idx="18">
                  <c:v>267.34693877551018</c:v>
                </c:pt>
                <c:pt idx="19">
                  <c:v>267.75510204081633</c:v>
                </c:pt>
                <c:pt idx="20">
                  <c:v>268.16326530612247</c:v>
                </c:pt>
                <c:pt idx="21">
                  <c:v>268.57142857142856</c:v>
                </c:pt>
                <c:pt idx="22">
                  <c:v>268.9795918367347</c:v>
                </c:pt>
                <c:pt idx="23">
                  <c:v>269.38775510204084</c:v>
                </c:pt>
                <c:pt idx="24">
                  <c:v>269.79591836734693</c:v>
                </c:pt>
                <c:pt idx="25">
                  <c:v>270.20408163265307</c:v>
                </c:pt>
                <c:pt idx="26">
                  <c:v>270.61224489795916</c:v>
                </c:pt>
                <c:pt idx="27">
                  <c:v>271.0204081632653</c:v>
                </c:pt>
                <c:pt idx="28">
                  <c:v>271.42857142857144</c:v>
                </c:pt>
                <c:pt idx="29">
                  <c:v>271.83673469387753</c:v>
                </c:pt>
                <c:pt idx="30">
                  <c:v>272.24489795918367</c:v>
                </c:pt>
                <c:pt idx="31">
                  <c:v>272.65306122448982</c:v>
                </c:pt>
                <c:pt idx="32">
                  <c:v>273.0612244897959</c:v>
                </c:pt>
                <c:pt idx="33">
                  <c:v>273.46938775510205</c:v>
                </c:pt>
                <c:pt idx="34">
                  <c:v>273.87755102040819</c:v>
                </c:pt>
                <c:pt idx="35">
                  <c:v>274.28571428571428</c:v>
                </c:pt>
                <c:pt idx="36">
                  <c:v>274.69387755102042</c:v>
                </c:pt>
                <c:pt idx="37">
                  <c:v>275.10204081632651</c:v>
                </c:pt>
                <c:pt idx="38">
                  <c:v>275.51020408163265</c:v>
                </c:pt>
                <c:pt idx="39">
                  <c:v>275.91836734693879</c:v>
                </c:pt>
                <c:pt idx="40">
                  <c:v>276.32653061224488</c:v>
                </c:pt>
                <c:pt idx="41">
                  <c:v>276.73469387755102</c:v>
                </c:pt>
                <c:pt idx="42">
                  <c:v>277.14285714285717</c:v>
                </c:pt>
                <c:pt idx="43">
                  <c:v>277.55102040816325</c:v>
                </c:pt>
                <c:pt idx="44">
                  <c:v>277.9591836734694</c:v>
                </c:pt>
                <c:pt idx="45">
                  <c:v>278.36734693877554</c:v>
                </c:pt>
                <c:pt idx="46">
                  <c:v>278.77551020408163</c:v>
                </c:pt>
                <c:pt idx="47">
                  <c:v>279.18367346938777</c:v>
                </c:pt>
                <c:pt idx="48">
                  <c:v>279.59183673469386</c:v>
                </c:pt>
                <c:pt idx="49">
                  <c:v>280</c:v>
                </c:pt>
              </c:numCache>
            </c:numRef>
          </c:xVal>
          <c:yVal>
            <c:numRef>
              <c:f>Sheet4!$D$3:$D$52</c:f>
              <c:numCache>
                <c:formatCode>General</c:formatCode>
                <c:ptCount val="50"/>
                <c:pt idx="0">
                  <c:v>1485613.0138498624</c:v>
                </c:pt>
                <c:pt idx="1">
                  <c:v>1506262.3128950787</c:v>
                </c:pt>
                <c:pt idx="2">
                  <c:v>1527246.8777856098</c:v>
                </c:pt>
                <c:pt idx="3">
                  <c:v>1548460.3102479377</c:v>
                </c:pt>
                <c:pt idx="4">
                  <c:v>1569903.9561521127</c:v>
                </c:pt>
                <c:pt idx="5">
                  <c:v>1591579.5441029195</c:v>
                </c:pt>
                <c:pt idx="6">
                  <c:v>1613488.8096960478</c:v>
                </c:pt>
                <c:pt idx="7">
                  <c:v>1635633.4941244721</c:v>
                </c:pt>
                <c:pt idx="8">
                  <c:v>1658015.3441166086</c:v>
                </c:pt>
                <c:pt idx="9">
                  <c:v>1680636.1118777355</c:v>
                </c:pt>
                <c:pt idx="10">
                  <c:v>1703497.5550299096</c:v>
                </c:pt>
                <c:pt idx="11">
                  <c:v>1726601.436550301</c:v>
                </c:pt>
                <c:pt idx="12">
                  <c:v>1749949.5247078557</c:v>
                </c:pt>
                <c:pt idx="13">
                  <c:v>1773543.592998388</c:v>
                </c:pt>
                <c:pt idx="14">
                  <c:v>1797385.4200779574</c:v>
                </c:pt>
                <c:pt idx="15">
                  <c:v>1821476.7896945449</c:v>
                </c:pt>
                <c:pt idx="16">
                  <c:v>1845819.4906179956</c:v>
                </c:pt>
                <c:pt idx="17">
                  <c:v>1870415.3165682149</c:v>
                </c:pt>
                <c:pt idx="18">
                  <c:v>1895266.0661415539</c:v>
                </c:pt>
                <c:pt idx="19">
                  <c:v>1920373.5427353864</c:v>
                </c:pt>
                <c:pt idx="20">
                  <c:v>1945739.5544708148</c:v>
                </c:pt>
                <c:pt idx="21">
                  <c:v>1971365.9141134922</c:v>
                </c:pt>
                <c:pt idx="22">
                  <c:v>1997254.4389925885</c:v>
                </c:pt>
                <c:pt idx="23">
                  <c:v>2023406.9509177161</c:v>
                </c:pt>
                <c:pt idx="24">
                  <c:v>2049825.2760939677</c:v>
                </c:pt>
                <c:pt idx="25">
                  <c:v>2076511.2450349149</c:v>
                </c:pt>
                <c:pt idx="26">
                  <c:v>2103466.6924735778</c:v>
                </c:pt>
                <c:pt idx="27">
                  <c:v>2130693.4572713347</c:v>
                </c:pt>
                <c:pt idx="28">
                  <c:v>2158193.3823247687</c:v>
                </c:pt>
                <c:pt idx="29">
                  <c:v>2185968.314470327</c:v>
                </c:pt>
                <c:pt idx="30">
                  <c:v>2214020.1043869327</c:v>
                </c:pt>
                <c:pt idx="31">
                  <c:v>2242350.6064963127</c:v>
                </c:pt>
                <c:pt idx="32">
                  <c:v>2270961.6788612185</c:v>
                </c:pt>
                <c:pt idx="33">
                  <c:v>2378264.8513371926</c:v>
                </c:pt>
                <c:pt idx="34">
                  <c:v>2474964.2269909442</c:v>
                </c:pt>
                <c:pt idx="35">
                  <c:v>2575730.4558819979</c:v>
                </c:pt>
                <c:pt idx="36">
                  <c:v>2680863.5381632815</c:v>
                </c:pt>
                <c:pt idx="37">
                  <c:v>2790583.7769209696</c:v>
                </c:pt>
                <c:pt idx="38">
                  <c:v>2905124.7377188816</c:v>
                </c:pt>
                <c:pt idx="39">
                  <c:v>3024735.0089855697</c:v>
                </c:pt>
                <c:pt idx="40">
                  <c:v>3149679.4444221477</c:v>
                </c:pt>
                <c:pt idx="41">
                  <c:v>3281571.7943412317</c:v>
                </c:pt>
                <c:pt idx="42">
                  <c:v>3418209.02422876</c:v>
                </c:pt>
                <c:pt idx="43">
                  <c:v>3561104.374355196</c:v>
                </c:pt>
                <c:pt idx="44">
                  <c:v>3710606.6240515648</c:v>
                </c:pt>
                <c:pt idx="45">
                  <c:v>3867088.0561506799</c:v>
                </c:pt>
                <c:pt idx="46">
                  <c:v>4030948.1426193793</c:v>
                </c:pt>
                <c:pt idx="47">
                  <c:v>4202616.0537887616</c:v>
                </c:pt>
                <c:pt idx="48">
                  <c:v>4382553.4329585191</c:v>
                </c:pt>
                <c:pt idx="49">
                  <c:v>4571257.4671309115</c:v>
                </c:pt>
              </c:numCache>
            </c:numRef>
          </c:yVal>
          <c:smooth val="0"/>
        </c:ser>
        <c:ser>
          <c:idx val="1"/>
          <c:order val="1"/>
          <c:tx>
            <c:v>Data from Deaton and Frost (1946)</c:v>
          </c:tx>
          <c:spPr>
            <a:ln w="28575">
              <a:noFill/>
            </a:ln>
          </c:spPr>
          <c:xVal>
            <c:numRef>
              <c:f>Sheet4!$G$3:$G$13</c:f>
              <c:numCache>
                <c:formatCode>General</c:formatCode>
                <c:ptCount val="11"/>
                <c:pt idx="0">
                  <c:v>262.36599999999999</c:v>
                </c:pt>
                <c:pt idx="1">
                  <c:v>263.923</c:v>
                </c:pt>
                <c:pt idx="2">
                  <c:v>266.25299999999999</c:v>
                </c:pt>
                <c:pt idx="3">
                  <c:v>268.39499999999998</c:v>
                </c:pt>
                <c:pt idx="4">
                  <c:v>270.536</c:v>
                </c:pt>
                <c:pt idx="5">
                  <c:v>273.83999999999997</c:v>
                </c:pt>
                <c:pt idx="6">
                  <c:v>274.42</c:v>
                </c:pt>
                <c:pt idx="7">
                  <c:v>275.96800000000002</c:v>
                </c:pt>
                <c:pt idx="8">
                  <c:v>277.12599999999998</c:v>
                </c:pt>
                <c:pt idx="9">
                  <c:v>279.25299999999999</c:v>
                </c:pt>
                <c:pt idx="10">
                  <c:v>280.21800000000002</c:v>
                </c:pt>
              </c:numCache>
            </c:numRef>
          </c:xVal>
          <c:yVal>
            <c:numRef>
              <c:f>Sheet4!$I$3:$I$13</c:f>
              <c:numCache>
                <c:formatCode>General</c:formatCode>
                <c:ptCount val="11"/>
                <c:pt idx="0">
                  <c:v>1676128.2825000002</c:v>
                </c:pt>
                <c:pt idx="1">
                  <c:v>1746691.0124999997</c:v>
                </c:pt>
                <c:pt idx="2">
                  <c:v>1975462.5975000001</c:v>
                </c:pt>
                <c:pt idx="3">
                  <c:v>2087163.2775000001</c:v>
                </c:pt>
                <c:pt idx="4">
                  <c:v>2235381.4874999998</c:v>
                </c:pt>
                <c:pt idx="5">
                  <c:v>2563461.7050000001</c:v>
                </c:pt>
                <c:pt idx="6">
                  <c:v>2707252.0124999997</c:v>
                </c:pt>
                <c:pt idx="7">
                  <c:v>3061170.105</c:v>
                </c:pt>
                <c:pt idx="8">
                  <c:v>3460998.5550000002</c:v>
                </c:pt>
                <c:pt idx="9">
                  <c:v>4189586.1</c:v>
                </c:pt>
                <c:pt idx="10">
                  <c:v>4609405.9725000001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129776"/>
        <c:axId val="266129384"/>
      </c:scatterChart>
      <c:valAx>
        <c:axId val="26612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 (K)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6129384"/>
        <c:crosses val="autoZero"/>
        <c:crossBetween val="midCat"/>
      </c:valAx>
      <c:valAx>
        <c:axId val="266129384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Fugacity (Pa)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6129776"/>
        <c:crosses val="autoZero"/>
        <c:crossBetween val="midCat"/>
        <c:majorUnit val="1000000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11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0</xdr:row>
          <xdr:rowOff>142875</xdr:rowOff>
        </xdr:from>
        <xdr:to>
          <xdr:col>8</xdr:col>
          <xdr:colOff>428625</xdr:colOff>
          <xdr:row>2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pressure without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3</xdr:row>
          <xdr:rowOff>0</xdr:rowOff>
        </xdr:from>
        <xdr:to>
          <xdr:col>8</xdr:col>
          <xdr:colOff>428625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pressure using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123825</xdr:colOff>
          <xdr:row>0</xdr:row>
          <xdr:rowOff>104775</xdr:rowOff>
        </xdr:from>
        <xdr:to>
          <xdr:col>13</xdr:col>
          <xdr:colOff>466725</xdr:colOff>
          <xdr:row>2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Plot P vs T without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2</xdr:row>
          <xdr:rowOff>200025</xdr:rowOff>
        </xdr:from>
        <xdr:to>
          <xdr:col>13</xdr:col>
          <xdr:colOff>457200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Plot P vs T with Flash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8550" cy="629130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595312</xdr:colOff>
      <xdr:row>8</xdr:row>
      <xdr:rowOff>128587</xdr:rowOff>
    </xdr:from>
    <xdr:to>
      <xdr:col>14</xdr:col>
      <xdr:colOff>290512</xdr:colOff>
      <xdr:row>23</xdr:row>
      <xdr:rowOff>14287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26</xdr:row>
      <xdr:rowOff>171450</xdr:rowOff>
    </xdr:from>
    <xdr:to>
      <xdr:col>13</xdr:col>
      <xdr:colOff>514350</xdr:colOff>
      <xdr:row>41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7</xdr:row>
      <xdr:rowOff>47625</xdr:rowOff>
    </xdr:from>
    <xdr:to>
      <xdr:col>30</xdr:col>
      <xdr:colOff>581025</xdr:colOff>
      <xdr:row>21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285750</xdr:colOff>
      <xdr:row>22</xdr:row>
      <xdr:rowOff>152400</xdr:rowOff>
    </xdr:from>
    <xdr:to>
      <xdr:col>30</xdr:col>
      <xdr:colOff>590550</xdr:colOff>
      <xdr:row>37</xdr:row>
      <xdr:rowOff>38100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204787</xdr:colOff>
      <xdr:row>10</xdr:row>
      <xdr:rowOff>119062</xdr:rowOff>
    </xdr:from>
    <xdr:to>
      <xdr:col>13</xdr:col>
      <xdr:colOff>509587</xdr:colOff>
      <xdr:row>25</xdr:row>
      <xdr:rowOff>4762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3</xdr:row>
      <xdr:rowOff>123825</xdr:rowOff>
    </xdr:from>
    <xdr:to>
      <xdr:col>16</xdr:col>
      <xdr:colOff>590550</xdr:colOff>
      <xdr:row>18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58"/>
  <sheetViews>
    <sheetView tabSelected="1" workbookViewId="0">
      <selection activeCell="I25" sqref="I25"/>
    </sheetView>
  </sheetViews>
  <sheetFormatPr defaultRowHeight="15" x14ac:dyDescent="0.25"/>
  <cols>
    <col min="1" max="1" width="11.140625" customWidth="1"/>
    <col min="2" max="2" width="11" customWidth="1"/>
    <col min="4" max="4" width="12.42578125" customWidth="1"/>
    <col min="5" max="5" width="11.5703125" bestFit="1" customWidth="1"/>
    <col min="6" max="6" width="12.5703125" bestFit="1" customWidth="1"/>
    <col min="7" max="7" width="11.42578125" customWidth="1"/>
    <col min="8" max="8" width="13" customWidth="1"/>
    <col min="11" max="11" width="11" bestFit="1" customWidth="1"/>
    <col min="13" max="13" width="16.5703125" bestFit="1" customWidth="1"/>
    <col min="14" max="14" width="9.28515625" bestFit="1" customWidth="1"/>
    <col min="15" max="15" width="20.28515625" customWidth="1"/>
    <col min="16" max="16" width="12.5703125" customWidth="1"/>
    <col min="17" max="17" width="12" bestFit="1" customWidth="1"/>
  </cols>
  <sheetData>
    <row r="1" spans="1:17" ht="15.75" thickBot="1" x14ac:dyDescent="0.3"/>
    <row r="2" spans="1:17" ht="16.5" thickTop="1" thickBot="1" x14ac:dyDescent="0.3">
      <c r="E2" s="4" t="s">
        <v>2</v>
      </c>
      <c r="F2" s="4" t="s">
        <v>3</v>
      </c>
      <c r="H2" s="8"/>
      <c r="J2" s="4" t="s">
        <v>47</v>
      </c>
      <c r="K2" s="7">
        <v>3.1615044585895492E-8</v>
      </c>
    </row>
    <row r="3" spans="1:17" ht="16.5" thickTop="1" thickBot="1" x14ac:dyDescent="0.3">
      <c r="A3" s="4" t="s">
        <v>35</v>
      </c>
      <c r="B3" s="5">
        <v>280</v>
      </c>
      <c r="C3" t="s">
        <v>0</v>
      </c>
      <c r="D3" s="4" t="s">
        <v>4</v>
      </c>
      <c r="E3" s="5">
        <v>190.56399999999999</v>
      </c>
      <c r="F3" s="5">
        <v>647.096</v>
      </c>
      <c r="J3" s="4" t="s">
        <v>36</v>
      </c>
      <c r="K3" s="7">
        <v>5246060.0947361588</v>
      </c>
    </row>
    <row r="4" spans="1:17" ht="16.5" thickTop="1" thickBot="1" x14ac:dyDescent="0.3">
      <c r="A4" s="4" t="s">
        <v>48</v>
      </c>
      <c r="B4" s="5">
        <v>5246060.0947361588</v>
      </c>
      <c r="D4" s="4" t="s">
        <v>5</v>
      </c>
      <c r="E4" s="5">
        <v>4599000</v>
      </c>
      <c r="F4" s="5">
        <f>22.064*1000000</f>
        <v>22064000</v>
      </c>
      <c r="J4" s="4" t="s">
        <v>40</v>
      </c>
      <c r="K4" s="7">
        <v>3</v>
      </c>
    </row>
    <row r="5" spans="1:17" ht="16.5" thickTop="1" thickBot="1" x14ac:dyDescent="0.3">
      <c r="A5" s="4" t="s">
        <v>37</v>
      </c>
      <c r="B5" s="5">
        <v>8.3140000000000001</v>
      </c>
      <c r="D5" s="4" t="s">
        <v>6</v>
      </c>
      <c r="E5" s="5">
        <v>1.15E-2</v>
      </c>
      <c r="F5" s="5">
        <v>0.34489999999999998</v>
      </c>
      <c r="J5" s="4" t="s">
        <v>44</v>
      </c>
      <c r="K5" s="7">
        <v>0.87136005226282542</v>
      </c>
    </row>
    <row r="6" spans="1:17" ht="16.5" thickTop="1" thickBot="1" x14ac:dyDescent="0.3">
      <c r="D6" s="4" t="s">
        <v>1</v>
      </c>
      <c r="E6" s="6">
        <f>0.0778*B5*E3/E4</f>
        <v>2.6801991665318546E-5</v>
      </c>
      <c r="F6" s="6">
        <f>0.0778*B5*F3/F4</f>
        <v>1.897029496026106E-5</v>
      </c>
    </row>
    <row r="7" spans="1:17" ht="16.5" thickTop="1" thickBot="1" x14ac:dyDescent="0.3">
      <c r="A7" s="11" t="s">
        <v>50</v>
      </c>
      <c r="B7" s="11"/>
      <c r="D7" s="4" t="s">
        <v>7</v>
      </c>
      <c r="E7" s="6">
        <f>apure(B3, E3, E5, B5,E4)</f>
        <v>0.21020048651638046</v>
      </c>
      <c r="F7" s="6">
        <f>apure(B3, F3, F5, B5,F4)</f>
        <v>1.0096062656578051</v>
      </c>
      <c r="M7" s="4" t="s">
        <v>21</v>
      </c>
      <c r="N7" s="5">
        <v>50</v>
      </c>
    </row>
    <row r="8" spans="1:17" ht="16.5" thickTop="1" thickBot="1" x14ac:dyDescent="0.3">
      <c r="A8" s="4" t="s">
        <v>22</v>
      </c>
      <c r="B8" s="5">
        <v>0.3</v>
      </c>
      <c r="D8" s="1"/>
      <c r="M8" s="4" t="s">
        <v>19</v>
      </c>
      <c r="N8" s="4" t="s">
        <v>20</v>
      </c>
      <c r="O8" s="4" t="s">
        <v>40</v>
      </c>
      <c r="P8" s="4" t="s">
        <v>49</v>
      </c>
      <c r="Q8" s="4" t="s">
        <v>47</v>
      </c>
    </row>
    <row r="9" spans="1:17" ht="16.5" thickTop="1" thickBot="1" x14ac:dyDescent="0.3">
      <c r="A9" s="4" t="s">
        <v>23</v>
      </c>
      <c r="B9" s="5">
        <v>0.7</v>
      </c>
      <c r="E9" s="4" t="s">
        <v>8</v>
      </c>
      <c r="F9" s="4" t="s">
        <v>9</v>
      </c>
      <c r="G9" s="4" t="s">
        <v>10</v>
      </c>
      <c r="H9" s="4" t="s">
        <v>11</v>
      </c>
      <c r="I9" s="4" t="s">
        <v>12</v>
      </c>
      <c r="M9" s="7">
        <v>260</v>
      </c>
      <c r="N9" s="7">
        <v>1704919.6746587995</v>
      </c>
      <c r="O9" s="7">
        <v>4</v>
      </c>
      <c r="P9" s="7">
        <v>1485598.8968146108</v>
      </c>
      <c r="Q9" s="7">
        <v>1.3482594202632407E-8</v>
      </c>
    </row>
    <row r="10" spans="1:17" ht="16.5" thickTop="1" thickBot="1" x14ac:dyDescent="0.3">
      <c r="A10" s="4" t="s">
        <v>24</v>
      </c>
      <c r="B10" s="6">
        <v>0.9996788377289697</v>
      </c>
      <c r="D10" s="4" t="s">
        <v>38</v>
      </c>
      <c r="E10" s="6">
        <v>1264</v>
      </c>
      <c r="F10" s="6">
        <v>-4858</v>
      </c>
      <c r="G10" s="6">
        <v>-39.159999999999997</v>
      </c>
      <c r="H10" s="6">
        <v>0.14099999999999999</v>
      </c>
      <c r="I10" s="9">
        <v>4.6E-6</v>
      </c>
      <c r="M10" s="7">
        <v>260.40816326530614</v>
      </c>
      <c r="N10" s="7">
        <v>1728617.1630165754</v>
      </c>
      <c r="O10" s="7">
        <v>2</v>
      </c>
      <c r="P10" s="7">
        <v>1506247.9415085402</v>
      </c>
      <c r="Q10" s="7">
        <v>4.6058176244491274E-8</v>
      </c>
    </row>
    <row r="11" spans="1:17" ht="16.5" thickTop="1" thickBot="1" x14ac:dyDescent="0.3">
      <c r="A11" s="4" t="s">
        <v>25</v>
      </c>
      <c r="B11" s="6">
        <v>3.3012885267599145E-4</v>
      </c>
      <c r="D11" s="4" t="s">
        <v>39</v>
      </c>
      <c r="E11" s="6">
        <v>1264</v>
      </c>
      <c r="F11" s="6">
        <v>1153</v>
      </c>
      <c r="G11" s="6">
        <v>3.3149999999999999</v>
      </c>
      <c r="H11" s="6">
        <v>1.21E-2</v>
      </c>
      <c r="I11" s="9">
        <v>3.0000000000000001E-6</v>
      </c>
      <c r="M11" s="7">
        <v>260.81632653061223</v>
      </c>
      <c r="N11" s="7">
        <v>1752699.4614903145</v>
      </c>
      <c r="O11" s="7">
        <v>2</v>
      </c>
      <c r="P11" s="7">
        <v>1527232.2943652263</v>
      </c>
      <c r="Q11" s="7">
        <v>4.7135468878284263E-8</v>
      </c>
    </row>
    <row r="12" spans="1:17" ht="16.5" thickTop="1" thickBot="1" x14ac:dyDescent="0.3">
      <c r="A12" s="4" t="s">
        <v>26</v>
      </c>
      <c r="B12" s="6">
        <v>2.1111374931680051E-5</v>
      </c>
      <c r="M12" s="7">
        <v>261.22448979591837</v>
      </c>
      <c r="N12" s="7">
        <v>1777044.4127324966</v>
      </c>
      <c r="O12" s="7">
        <v>2</v>
      </c>
      <c r="P12" s="7">
        <v>1548445.5123519502</v>
      </c>
      <c r="Q12" s="7">
        <v>4.7732122500016585E-8</v>
      </c>
    </row>
    <row r="13" spans="1:17" ht="16.5" thickTop="1" thickBot="1" x14ac:dyDescent="0.3">
      <c r="A13" s="4" t="s">
        <v>27</v>
      </c>
      <c r="B13" s="6">
        <v>0.99997504431100337</v>
      </c>
      <c r="E13" s="4" t="s">
        <v>13</v>
      </c>
      <c r="F13" s="6">
        <f>1/23</f>
        <v>4.3478260869565216E-2</v>
      </c>
      <c r="M13" s="7">
        <v>261.63265306122452</v>
      </c>
      <c r="N13" s="7">
        <v>1801653.5611045191</v>
      </c>
      <c r="O13" s="7">
        <v>2</v>
      </c>
      <c r="P13" s="7">
        <v>1569888.9411635392</v>
      </c>
      <c r="Q13" s="7">
        <v>4.8330282110527576E-8</v>
      </c>
    </row>
    <row r="14" spans="1:17" ht="16.5" thickTop="1" thickBot="1" x14ac:dyDescent="0.3">
      <c r="A14" s="4" t="s">
        <v>28</v>
      </c>
      <c r="B14" s="6">
        <v>0.87069325719903623</v>
      </c>
      <c r="E14" s="4" t="s">
        <v>14</v>
      </c>
      <c r="F14" s="6">
        <f>3/23</f>
        <v>0.13043478260869565</v>
      </c>
      <c r="M14" s="7">
        <v>262.0408163265306</v>
      </c>
      <c r="N14" s="7">
        <v>1826528.8903769355</v>
      </c>
      <c r="O14" s="7">
        <v>2</v>
      </c>
      <c r="P14" s="7">
        <v>1591564.309378407</v>
      </c>
      <c r="Q14" s="7">
        <v>4.8931580144742488E-8</v>
      </c>
    </row>
    <row r="15" spans="1:17" ht="16.5" thickTop="1" thickBot="1" x14ac:dyDescent="0.3">
      <c r="A15" s="4" t="s">
        <v>30</v>
      </c>
      <c r="B15" s="6">
        <v>0.87069325719903623</v>
      </c>
      <c r="M15" s="7">
        <v>262.44897959183675</v>
      </c>
      <c r="N15" s="7">
        <v>1851672.392343634</v>
      </c>
      <c r="O15" s="7">
        <v>2</v>
      </c>
      <c r="P15" s="7">
        <v>1613473.3525661801</v>
      </c>
      <c r="Q15" s="7">
        <v>4.9535958427253319E-8</v>
      </c>
    </row>
    <row r="16" spans="1:17" ht="16.5" thickTop="1" thickBot="1" x14ac:dyDescent="0.3">
      <c r="A16" s="4" t="s">
        <v>31</v>
      </c>
      <c r="B16" s="6">
        <v>1.66032680983324E-4</v>
      </c>
      <c r="F16" s="4" t="s">
        <v>17</v>
      </c>
      <c r="G16" s="4" t="s">
        <v>18</v>
      </c>
      <c r="M16" s="7">
        <v>262.85714285714283</v>
      </c>
      <c r="N16" s="7">
        <v>1877086.0652218894</v>
      </c>
      <c r="O16" s="7">
        <v>2</v>
      </c>
      <c r="P16" s="7">
        <v>1635617.811893567</v>
      </c>
      <c r="Q16" s="7">
        <v>5.0143351022235055E-8</v>
      </c>
    </row>
    <row r="17" spans="1:17" ht="16.5" thickTop="1" thickBot="1" x14ac:dyDescent="0.3">
      <c r="A17" s="4" t="s">
        <v>29</v>
      </c>
      <c r="B17" s="6">
        <v>1.66032680983324E-4</v>
      </c>
      <c r="E17" s="4" t="s">
        <v>15</v>
      </c>
      <c r="F17" s="6">
        <v>3.7236999999999999E-3</v>
      </c>
      <c r="G17" s="6">
        <v>2708.8</v>
      </c>
      <c r="M17" s="7">
        <v>263.26530612244898</v>
      </c>
      <c r="N17" s="7">
        <v>1902771.913581396</v>
      </c>
      <c r="O17" s="7">
        <v>2</v>
      </c>
      <c r="P17" s="7">
        <v>1657999.4340625214</v>
      </c>
      <c r="Q17" s="7">
        <v>5.0753690227270473E-8</v>
      </c>
    </row>
    <row r="18" spans="1:17" ht="16.5" thickTop="1" thickBot="1" x14ac:dyDescent="0.3">
      <c r="E18" s="4" t="s">
        <v>16</v>
      </c>
      <c r="F18" s="6">
        <v>1.8371999999999999E-2</v>
      </c>
      <c r="G18" s="6">
        <v>2737.9</v>
      </c>
      <c r="M18" s="7">
        <v>263.67346938775512</v>
      </c>
      <c r="N18" s="7">
        <v>1928731.9482770327</v>
      </c>
      <c r="O18" s="7">
        <v>2</v>
      </c>
      <c r="P18" s="7">
        <v>1680619.9712516563</v>
      </c>
      <c r="Q18" s="7">
        <v>5.1366906586081428E-8</v>
      </c>
    </row>
    <row r="19" spans="1:17" ht="15.75" thickTop="1" x14ac:dyDescent="0.25">
      <c r="M19" s="7">
        <v>264.08163265306121</v>
      </c>
      <c r="N19" s="7">
        <v>1954968.1863799067</v>
      </c>
      <c r="O19" s="7">
        <v>2</v>
      </c>
      <c r="P19" s="7">
        <v>1703481.1810561565</v>
      </c>
      <c r="Q19" s="7">
        <v>5.1982928879950765E-8</v>
      </c>
    </row>
    <row r="20" spans="1:17" x14ac:dyDescent="0.25">
      <c r="M20" s="7">
        <v>264.48979591836735</v>
      </c>
      <c r="N20" s="7">
        <v>1981482.6511065906</v>
      </c>
      <c r="O20" s="7">
        <v>2</v>
      </c>
      <c r="P20" s="7">
        <v>1726584.8264261207</v>
      </c>
      <c r="Q20" s="7">
        <v>5.2601684119516801E-8</v>
      </c>
    </row>
    <row r="21" spans="1:17" x14ac:dyDescent="0.25">
      <c r="M21" s="7">
        <v>264.89795918367349</v>
      </c>
      <c r="N21" s="7">
        <v>2008277.3717464278</v>
      </c>
      <c r="O21" s="7">
        <v>2</v>
      </c>
      <c r="P21" s="7">
        <v>1749932.675603217</v>
      </c>
      <c r="Q21" s="7">
        <v>5.3223097536846353E-8</v>
      </c>
    </row>
    <row r="22" spans="1:17" x14ac:dyDescent="0.25">
      <c r="M22" s="7">
        <v>265.30612244897958</v>
      </c>
      <c r="N22" s="7">
        <v>2035354.3835870468</v>
      </c>
      <c r="O22" s="7">
        <v>2</v>
      </c>
      <c r="P22" s="7">
        <v>1773526.5020557798</v>
      </c>
      <c r="Q22" s="7">
        <v>5.3847092579027178E-8</v>
      </c>
    </row>
    <row r="23" spans="1:17" x14ac:dyDescent="0.25">
      <c r="M23" s="7">
        <v>265.71428571428572</v>
      </c>
      <c r="N23" s="7">
        <v>2062715.7278378955</v>
      </c>
      <c r="O23" s="7">
        <v>2</v>
      </c>
      <c r="P23" s="7">
        <v>1797368.0844121806</v>
      </c>
      <c r="Q23" s="7">
        <v>5.4473590900535873E-8</v>
      </c>
    </row>
    <row r="24" spans="1:17" x14ac:dyDescent="0.25">
      <c r="M24" s="7">
        <v>266.12244897959181</v>
      </c>
      <c r="N24" s="7">
        <v>2090363.4515518288</v>
      </c>
      <c r="O24" s="7">
        <v>2</v>
      </c>
      <c r="P24" s="7">
        <v>1821459.2063925017</v>
      </c>
      <c r="Q24" s="7">
        <v>5.5102512357554316E-8</v>
      </c>
    </row>
    <row r="25" spans="1:17" x14ac:dyDescent="0.25">
      <c r="M25" s="7">
        <v>266.53061224489795</v>
      </c>
      <c r="N25" s="7">
        <v>2118299.6075447272</v>
      </c>
      <c r="O25" s="7">
        <v>2</v>
      </c>
      <c r="P25" s="7">
        <v>1845801.6567384962</v>
      </c>
      <c r="Q25" s="7">
        <v>5.5733775002523634E-8</v>
      </c>
    </row>
    <row r="26" spans="1:17" x14ac:dyDescent="0.25">
      <c r="M26" s="7">
        <v>266.9387755102041</v>
      </c>
      <c r="N26" s="7">
        <v>2146526.2543130619</v>
      </c>
      <c r="O26" s="7">
        <v>2</v>
      </c>
      <c r="P26" s="7">
        <v>1870397.2291417567</v>
      </c>
      <c r="Q26" s="7">
        <v>5.6367295079146668E-8</v>
      </c>
    </row>
    <row r="27" spans="1:17" x14ac:dyDescent="0.25">
      <c r="M27" s="7">
        <v>267.34693877551018</v>
      </c>
      <c r="N27" s="7">
        <v>2175045.4559494355</v>
      </c>
      <c r="O27" s="7">
        <v>2</v>
      </c>
      <c r="P27" s="7">
        <v>1895247.722170121</v>
      </c>
      <c r="Q27" s="7">
        <v>5.700298701752935E-8</v>
      </c>
    </row>
    <row r="28" spans="1:17" x14ac:dyDescent="0.25">
      <c r="M28" s="7">
        <v>267.75510204081633</v>
      </c>
      <c r="N28" s="7">
        <v>2203859.2820560136</v>
      </c>
      <c r="O28" s="7">
        <v>2</v>
      </c>
      <c r="P28" s="7">
        <v>1920354.9391922408</v>
      </c>
      <c r="Q28" s="7">
        <v>5.7640763431269631E-8</v>
      </c>
    </row>
    <row r="29" spans="1:17" x14ac:dyDescent="0.25">
      <c r="M29" s="7">
        <v>268.16326530612247</v>
      </c>
      <c r="N29" s="7">
        <v>2232969.8076558169</v>
      </c>
      <c r="O29" s="7">
        <v>2</v>
      </c>
      <c r="P29" s="7">
        <v>1945720.6883002839</v>
      </c>
      <c r="Q29" s="7">
        <v>5.828053511345136E-8</v>
      </c>
    </row>
    <row r="30" spans="1:17" x14ac:dyDescent="0.25">
      <c r="M30" s="7">
        <v>268.57142857142856</v>
      </c>
      <c r="N30" s="7">
        <v>2262379.1131018652</v>
      </c>
      <c r="O30" s="7">
        <v>2</v>
      </c>
      <c r="P30" s="7">
        <v>1971346.7822307658</v>
      </c>
      <c r="Q30" s="7">
        <v>5.8922211034723468E-8</v>
      </c>
    </row>
    <row r="31" spans="1:17" x14ac:dyDescent="0.25">
      <c r="M31" s="7">
        <v>268.9795918367347</v>
      </c>
      <c r="N31" s="7">
        <v>2292089.2839841694</v>
      </c>
      <c r="O31" s="7">
        <v>2</v>
      </c>
      <c r="P31" s="7">
        <v>1997235.038283508</v>
      </c>
      <c r="Q31" s="7">
        <v>5.9565698341800725E-8</v>
      </c>
    </row>
    <row r="32" spans="1:17" x14ac:dyDescent="0.25">
      <c r="M32" s="7">
        <v>269.38775510204084</v>
      </c>
      <c r="N32" s="7">
        <v>2322102.4110343875</v>
      </c>
      <c r="O32" s="7">
        <v>2</v>
      </c>
      <c r="P32" s="7">
        <v>2023387.2782385568</v>
      </c>
      <c r="Q32" s="7">
        <v>6.0210902355518426E-8</v>
      </c>
    </row>
    <row r="33" spans="13:17" x14ac:dyDescent="0.25">
      <c r="M33" s="7">
        <v>269.79591836734693</v>
      </c>
      <c r="N33" s="7">
        <v>2352420.5900283353</v>
      </c>
      <c r="O33" s="7">
        <v>2</v>
      </c>
      <c r="P33" s="7">
        <v>2049805.328271237</v>
      </c>
      <c r="Q33" s="7">
        <v>6.0857726571260923E-8</v>
      </c>
    </row>
    <row r="34" spans="13:17" x14ac:dyDescent="0.25">
      <c r="M34" s="7">
        <v>270.20408163265307</v>
      </c>
      <c r="N34" s="7">
        <v>2383045.9216861348</v>
      </c>
      <c r="O34" s="7">
        <v>2</v>
      </c>
      <c r="P34" s="7">
        <v>2076491.0188651434</v>
      </c>
      <c r="Q34" s="7">
        <v>6.1506072658868143E-8</v>
      </c>
    </row>
    <row r="35" spans="13:17" x14ac:dyDescent="0.25">
      <c r="M35" s="7">
        <v>270.61224489795916</v>
      </c>
      <c r="N35" s="7">
        <v>2413980.5115700262</v>
      </c>
      <c r="O35" s="7">
        <v>2</v>
      </c>
      <c r="P35" s="7">
        <v>2103446.1847231002</v>
      </c>
      <c r="Q35" s="7">
        <v>6.2155840464201987E-8</v>
      </c>
    </row>
    <row r="36" spans="13:17" x14ac:dyDescent="0.25">
      <c r="M36" s="7">
        <v>271.0204081632653</v>
      </c>
      <c r="N36" s="7">
        <v>2445226.4699798557</v>
      </c>
      <c r="O36" s="7">
        <v>2</v>
      </c>
      <c r="P36" s="7">
        <v>2130672.6646760912</v>
      </c>
      <c r="Q36" s="7">
        <v>6.2806928010751645E-8</v>
      </c>
    </row>
    <row r="37" spans="13:17" x14ac:dyDescent="0.25">
      <c r="M37" s="7">
        <v>271.42857142857144</v>
      </c>
      <c r="N37" s="7">
        <v>2476785.9118461376</v>
      </c>
      <c r="O37" s="7">
        <v>2</v>
      </c>
      <c r="P37" s="7">
        <v>2158172.3015900804</v>
      </c>
      <c r="Q37" s="7">
        <v>6.3459231502608404E-8</v>
      </c>
    </row>
    <row r="38" spans="13:17" x14ac:dyDescent="0.25">
      <c r="M38" s="7">
        <v>271.83673469387753</v>
      </c>
      <c r="N38" s="7">
        <v>2508660.9566206653</v>
      </c>
      <c r="O38" s="7">
        <v>2</v>
      </c>
      <c r="P38" s="7">
        <v>2185946.9422706924</v>
      </c>
      <c r="Q38" s="7">
        <v>6.4112645327721516E-8</v>
      </c>
    </row>
    <row r="39" spans="13:17" x14ac:dyDescent="0.25">
      <c r="M39" s="7">
        <v>272.24489795918367</v>
      </c>
      <c r="N39" s="7">
        <v>2540853.7281647334</v>
      </c>
      <c r="O39" s="7">
        <v>2</v>
      </c>
      <c r="P39" s="7">
        <v>2213998.4373658169</v>
      </c>
      <c r="Q39" s="7">
        <v>6.4767062062787085E-8</v>
      </c>
    </row>
    <row r="40" spans="13:17" x14ac:dyDescent="0.25">
      <c r="M40" s="7">
        <v>272.65306122448982</v>
      </c>
      <c r="N40" s="7">
        <v>2573366.3546347483</v>
      </c>
      <c r="O40" s="7">
        <v>2</v>
      </c>
      <c r="P40" s="7">
        <v>2242328.6412659306</v>
      </c>
      <c r="Q40" s="7">
        <v>6.5422372478564445E-8</v>
      </c>
    </row>
    <row r="41" spans="13:17" x14ac:dyDescent="0.25">
      <c r="M41" s="7">
        <v>273.0612244897959</v>
      </c>
      <c r="N41" s="7">
        <v>2606200.9683654392</v>
      </c>
      <c r="O41" s="7">
        <v>2</v>
      </c>
      <c r="P41" s="7">
        <v>2270939.4120023353</v>
      </c>
      <c r="Q41" s="7">
        <v>6.6078465545276756E-8</v>
      </c>
    </row>
    <row r="42" spans="13:17" x14ac:dyDescent="0.25">
      <c r="M42" s="7">
        <v>273.46938775510205</v>
      </c>
      <c r="N42" s="7">
        <v>2729343.7765592011</v>
      </c>
      <c r="O42" s="7">
        <v>2</v>
      </c>
      <c r="P42" s="7">
        <v>2378241.1357858428</v>
      </c>
      <c r="Q42" s="7">
        <v>9.0106291596546931E-7</v>
      </c>
    </row>
    <row r="43" spans="13:17" x14ac:dyDescent="0.25">
      <c r="M43" s="7">
        <v>273.87755102040819</v>
      </c>
      <c r="N43" s="7">
        <v>2840317.7641152437</v>
      </c>
      <c r="O43" s="7">
        <v>2</v>
      </c>
      <c r="P43" s="7">
        <v>2474939.43538249</v>
      </c>
      <c r="Q43" s="7">
        <v>7.1134715773627009E-7</v>
      </c>
    </row>
    <row r="44" spans="13:17" x14ac:dyDescent="0.25">
      <c r="M44" s="7">
        <v>274.28571428571428</v>
      </c>
      <c r="N44" s="7">
        <v>2955958.9410964018</v>
      </c>
      <c r="O44" s="7">
        <v>2</v>
      </c>
      <c r="P44" s="7">
        <v>2575704.5374005269</v>
      </c>
      <c r="Q44" s="7">
        <v>7.5092192371506891E-7</v>
      </c>
    </row>
    <row r="45" spans="13:17" x14ac:dyDescent="0.25">
      <c r="M45" s="7">
        <v>274.69387755102042</v>
      </c>
      <c r="N45" s="7">
        <v>3076611.5878497567</v>
      </c>
      <c r="O45" s="7">
        <v>2</v>
      </c>
      <c r="P45" s="7">
        <v>2680836.4339811783</v>
      </c>
      <c r="Q45" s="7">
        <v>7.9430748146427135E-7</v>
      </c>
    </row>
    <row r="46" spans="13:17" x14ac:dyDescent="0.25">
      <c r="M46" s="7">
        <v>275.10204081632651</v>
      </c>
      <c r="N46" s="7">
        <v>3202528.5266368049</v>
      </c>
      <c r="O46" s="7">
        <v>2</v>
      </c>
      <c r="P46" s="7">
        <v>2790555.4243434356</v>
      </c>
      <c r="Q46" s="7">
        <v>8.4029238190402495E-7</v>
      </c>
    </row>
    <row r="47" spans="13:17" x14ac:dyDescent="0.25">
      <c r="M47" s="7">
        <v>275.51020408163265</v>
      </c>
      <c r="N47" s="7">
        <v>3333977.7998394845</v>
      </c>
      <c r="O47" s="7">
        <v>2</v>
      </c>
      <c r="P47" s="7">
        <v>2905095.0699112331</v>
      </c>
      <c r="Q47" s="7">
        <v>8.8902810753431545E-7</v>
      </c>
    </row>
    <row r="48" spans="13:17" x14ac:dyDescent="0.25">
      <c r="M48" s="7">
        <v>275.91836734693879</v>
      </c>
      <c r="N48" s="7">
        <v>3471244.6901503219</v>
      </c>
      <c r="O48" s="7">
        <v>2</v>
      </c>
      <c r="P48" s="7">
        <v>3024703.9546264396</v>
      </c>
      <c r="Q48" s="7">
        <v>9.4068545092064233E-7</v>
      </c>
    </row>
    <row r="49" spans="13:17" x14ac:dyDescent="0.25">
      <c r="M49" s="7">
        <v>276.32653061224488</v>
      </c>
      <c r="N49" s="7">
        <v>3614633.1463573407</v>
      </c>
      <c r="O49" s="7">
        <v>2</v>
      </c>
      <c r="P49" s="7">
        <v>3149646.9273208734</v>
      </c>
      <c r="Q49" s="7">
        <v>9.9544551569606147E-7</v>
      </c>
    </row>
    <row r="50" spans="13:17" x14ac:dyDescent="0.25">
      <c r="M50" s="7">
        <v>276.73469387755102</v>
      </c>
      <c r="N50" s="7">
        <v>3765995.10571894</v>
      </c>
      <c r="O50" s="7">
        <v>3</v>
      </c>
      <c r="P50" s="7">
        <v>3281537.6921408004</v>
      </c>
      <c r="Q50" s="7">
        <v>1.1820714636312281E-8</v>
      </c>
    </row>
    <row r="51" spans="13:17" x14ac:dyDescent="0.25">
      <c r="M51" s="7">
        <v>277.14285714285717</v>
      </c>
      <c r="N51" s="7">
        <v>3922802.3783160355</v>
      </c>
      <c r="O51" s="7">
        <v>3</v>
      </c>
      <c r="P51" s="7">
        <v>3418173.2853861963</v>
      </c>
      <c r="Q51" s="7">
        <v>1.3157828380564082E-8</v>
      </c>
    </row>
    <row r="52" spans="13:17" x14ac:dyDescent="0.25">
      <c r="M52" s="7">
        <v>277.55102040816325</v>
      </c>
      <c r="N52" s="7">
        <v>4086791.5571081843</v>
      </c>
      <c r="O52" s="7">
        <v>3</v>
      </c>
      <c r="P52" s="7">
        <v>3561066.9047890613</v>
      </c>
      <c r="Q52" s="7">
        <v>1.4914231620046197E-8</v>
      </c>
    </row>
    <row r="53" spans="13:17" x14ac:dyDescent="0.25">
      <c r="M53" s="7">
        <v>277.9591836734694</v>
      </c>
      <c r="N53" s="7">
        <v>4258362.9040922467</v>
      </c>
      <c r="O53" s="7">
        <v>3</v>
      </c>
      <c r="P53" s="7">
        <v>3710567.3226638972</v>
      </c>
      <c r="Q53" s="7">
        <v>1.6905804617551535E-8</v>
      </c>
    </row>
    <row r="54" spans="13:17" x14ac:dyDescent="0.25">
      <c r="M54" s="7">
        <v>278.36734693877554</v>
      </c>
      <c r="N54" s="7">
        <v>4437943.6539764218</v>
      </c>
      <c r="O54" s="7">
        <v>3</v>
      </c>
      <c r="P54" s="7">
        <v>3867046.8142683692</v>
      </c>
      <c r="Q54" s="7">
        <v>1.9163273443278618E-8</v>
      </c>
    </row>
    <row r="55" spans="13:17" x14ac:dyDescent="0.25">
      <c r="M55" s="7">
        <v>278.77551020408163</v>
      </c>
      <c r="N55" s="7">
        <v>4625992.2437483361</v>
      </c>
      <c r="O55" s="7">
        <v>3</v>
      </c>
      <c r="P55" s="7">
        <v>4030904.843279975</v>
      </c>
      <c r="Q55" s="7">
        <v>2.1721492257207892E-8</v>
      </c>
    </row>
    <row r="56" spans="13:17" x14ac:dyDescent="0.25">
      <c r="M56" s="7">
        <v>279.18367346938777</v>
      </c>
      <c r="N56" s="7">
        <v>4823001.1922556292</v>
      </c>
      <c r="O56" s="7">
        <v>3</v>
      </c>
      <c r="P56" s="7">
        <v>4202570.5709475344</v>
      </c>
      <c r="Q56" s="7">
        <v>2.4619553511296111E-8</v>
      </c>
    </row>
    <row r="57" spans="13:17" x14ac:dyDescent="0.25">
      <c r="M57" s="7">
        <v>279.59183673469386</v>
      </c>
      <c r="N57" s="7">
        <v>5029500.2843281114</v>
      </c>
      <c r="O57" s="7">
        <v>3</v>
      </c>
      <c r="P57" s="7">
        <v>4382505.630608039</v>
      </c>
      <c r="Q57" s="7">
        <v>2.7901170725121104E-8</v>
      </c>
    </row>
    <row r="58" spans="13:17" x14ac:dyDescent="0.25">
      <c r="M58" s="7">
        <v>280</v>
      </c>
      <c r="N58" s="7">
        <v>5246060.0947361588</v>
      </c>
      <c r="O58" s="7">
        <v>3</v>
      </c>
      <c r="P58" s="7">
        <v>4571207.1983232219</v>
      </c>
      <c r="Q58" s="7">
        <v>3.1615044585895492E-8</v>
      </c>
    </row>
  </sheetData>
  <mergeCells count="1">
    <mergeCell ref="A7:B7"/>
  </mergeCells>
  <dataValidations count="1">
    <dataValidation type="list" allowBlank="1" showInputMessage="1" showErrorMessage="1" sqref="H2">
      <formula1>"Without Flash,With Flash"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fcalc">
                <anchor moveWithCells="1" sizeWithCells="1">
                  <from>
                    <xdr:col>6</xdr:col>
                    <xdr:colOff>209550</xdr:colOff>
                    <xdr:row>0</xdr:row>
                    <xdr:rowOff>142875</xdr:rowOff>
                  </from>
                  <to>
                    <xdr:col>8</xdr:col>
                    <xdr:colOff>428625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hfcalcmix">
                <anchor moveWithCells="1" sizeWithCells="1">
                  <from>
                    <xdr:col>6</xdr:col>
                    <xdr:colOff>209550</xdr:colOff>
                    <xdr:row>3</xdr:row>
                    <xdr:rowOff>0</xdr:rowOff>
                  </from>
                  <to>
                    <xdr:col>8</xdr:col>
                    <xdr:colOff>428625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opulate">
                <anchor moveWithCells="1" sizeWithCells="1">
                  <from>
                    <xdr:col>12</xdr:col>
                    <xdr:colOff>123825</xdr:colOff>
                    <xdr:row>0</xdr:row>
                    <xdr:rowOff>104775</xdr:rowOff>
                  </from>
                  <to>
                    <xdr:col>13</xdr:col>
                    <xdr:colOff>466725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opulatemix">
                <anchor moveWithCells="1" sizeWithCells="1">
                  <from>
                    <xdr:col>12</xdr:col>
                    <xdr:colOff>114300</xdr:colOff>
                    <xdr:row>2</xdr:row>
                    <xdr:rowOff>200025</xdr:rowOff>
                  </from>
                  <to>
                    <xdr:col>13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W67"/>
  <sheetViews>
    <sheetView topLeftCell="Q8" workbookViewId="0">
      <selection activeCell="AF15" sqref="AF15"/>
    </sheetView>
  </sheetViews>
  <sheetFormatPr defaultRowHeight="15" x14ac:dyDescent="0.25"/>
  <cols>
    <col min="19" max="19" width="19.85546875" bestFit="1" customWidth="1"/>
    <col min="23" max="23" width="19.85546875" bestFit="1" customWidth="1"/>
  </cols>
  <sheetData>
    <row r="5" spans="1:23" x14ac:dyDescent="0.25">
      <c r="Q5" t="s">
        <v>41</v>
      </c>
      <c r="U5" t="s">
        <v>42</v>
      </c>
    </row>
    <row r="6" spans="1:23" x14ac:dyDescent="0.25">
      <c r="A6" t="s">
        <v>19</v>
      </c>
      <c r="B6" t="s">
        <v>20</v>
      </c>
      <c r="C6" t="s">
        <v>19</v>
      </c>
      <c r="D6" t="s">
        <v>20</v>
      </c>
    </row>
    <row r="7" spans="1:23" x14ac:dyDescent="0.25">
      <c r="A7">
        <v>275.09100000000001</v>
      </c>
      <c r="B7">
        <v>2.9893200000000002</v>
      </c>
      <c r="C7">
        <f>A7</f>
        <v>275.09100000000001</v>
      </c>
      <c r="D7">
        <f>B7*1000000</f>
        <v>2989320</v>
      </c>
      <c r="Q7" t="s">
        <v>19</v>
      </c>
      <c r="R7" t="s">
        <v>20</v>
      </c>
      <c r="S7" t="s">
        <v>40</v>
      </c>
      <c r="U7" t="s">
        <v>19</v>
      </c>
      <c r="V7" t="s">
        <v>20</v>
      </c>
      <c r="W7" t="s">
        <v>40</v>
      </c>
    </row>
    <row r="8" spans="1:23" x14ac:dyDescent="0.25">
      <c r="A8">
        <v>278.24900000000002</v>
      </c>
      <c r="B8">
        <v>3.98577</v>
      </c>
      <c r="C8">
        <f t="shared" ref="C8:C13" si="0">A8+273.15</f>
        <v>551.399</v>
      </c>
      <c r="D8">
        <f t="shared" ref="D8:D13" si="1">B8*1000000</f>
        <v>3985770</v>
      </c>
      <c r="Q8">
        <v>260</v>
      </c>
      <c r="R8">
        <v>1704281.9500558726</v>
      </c>
      <c r="S8">
        <v>3</v>
      </c>
    </row>
    <row r="9" spans="1:23" x14ac:dyDescent="0.25">
      <c r="A9">
        <v>279.45499999999998</v>
      </c>
      <c r="B9">
        <v>4.9822100000000002</v>
      </c>
      <c r="C9">
        <f t="shared" si="0"/>
        <v>552.60500000000002</v>
      </c>
      <c r="D9">
        <f t="shared" si="1"/>
        <v>4982210</v>
      </c>
      <c r="Q9">
        <v>260.40816326530614</v>
      </c>
      <c r="R9">
        <v>1728081.7766807061</v>
      </c>
      <c r="S9">
        <v>3</v>
      </c>
      <c r="U9">
        <v>260.40816326530614</v>
      </c>
      <c r="V9">
        <v>1728633.6560684445</v>
      </c>
      <c r="W9">
        <v>2</v>
      </c>
    </row>
    <row r="10" spans="1:23" x14ac:dyDescent="0.25">
      <c r="A10">
        <v>281.23399999999998</v>
      </c>
      <c r="B10">
        <v>5.97865</v>
      </c>
      <c r="C10">
        <f t="shared" si="0"/>
        <v>554.38400000000001</v>
      </c>
      <c r="D10">
        <f t="shared" si="1"/>
        <v>5978650</v>
      </c>
      <c r="Q10">
        <v>260.81632653061223</v>
      </c>
      <c r="R10">
        <v>1752140.9578913585</v>
      </c>
      <c r="S10">
        <v>3</v>
      </c>
      <c r="U10">
        <v>260.81632653061223</v>
      </c>
      <c r="V10">
        <v>1752716.1978788436</v>
      </c>
      <c r="W10">
        <v>2</v>
      </c>
    </row>
    <row r="11" spans="1:23" x14ac:dyDescent="0.25">
      <c r="A11">
        <v>282.411</v>
      </c>
      <c r="B11">
        <v>6.9750899999999998</v>
      </c>
      <c r="C11">
        <f t="shared" si="0"/>
        <v>555.56099999999992</v>
      </c>
      <c r="D11">
        <f t="shared" si="1"/>
        <v>6975090</v>
      </c>
      <c r="Q11">
        <v>261.22448979591837</v>
      </c>
      <c r="R11">
        <v>1776461.4349969369</v>
      </c>
      <c r="S11">
        <v>3</v>
      </c>
      <c r="U11">
        <v>261.22448979591837</v>
      </c>
      <c r="V11">
        <v>1777061.3952599249</v>
      </c>
      <c r="W11">
        <v>2</v>
      </c>
    </row>
    <row r="12" spans="1:23" x14ac:dyDescent="0.25">
      <c r="A12">
        <v>283.73200000000003</v>
      </c>
      <c r="B12">
        <v>7.9359400000000004</v>
      </c>
      <c r="C12">
        <f t="shared" si="0"/>
        <v>556.88200000000006</v>
      </c>
      <c r="D12">
        <f t="shared" si="1"/>
        <v>7935940</v>
      </c>
      <c r="Q12">
        <v>261.63265306122452</v>
      </c>
      <c r="R12">
        <v>1801045.1549861482</v>
      </c>
      <c r="S12">
        <v>3</v>
      </c>
      <c r="U12">
        <v>261.63265306122452</v>
      </c>
      <c r="V12">
        <v>1801670.7927741767</v>
      </c>
      <c r="W12">
        <v>2</v>
      </c>
    </row>
    <row r="13" spans="1:23" x14ac:dyDescent="0.25">
      <c r="A13">
        <v>284.65100000000001</v>
      </c>
      <c r="B13">
        <v>8.9679699999999993</v>
      </c>
      <c r="C13">
        <f t="shared" si="0"/>
        <v>557.80099999999993</v>
      </c>
      <c r="D13">
        <f t="shared" si="1"/>
        <v>8967970</v>
      </c>
      <c r="Q13">
        <v>262.0408163265306</v>
      </c>
      <c r="R13">
        <v>1825894.0704441709</v>
      </c>
      <c r="S13">
        <v>3</v>
      </c>
      <c r="U13">
        <v>262.0408163265306</v>
      </c>
      <c r="V13">
        <v>1826546.3742224169</v>
      </c>
      <c r="W13">
        <v>2</v>
      </c>
    </row>
    <row r="14" spans="1:23" x14ac:dyDescent="0.25">
      <c r="Q14">
        <v>262.44897959183675</v>
      </c>
      <c r="R14">
        <v>1851010.1394674287</v>
      </c>
      <c r="S14">
        <v>3</v>
      </c>
      <c r="U14">
        <v>262.44897959183675</v>
      </c>
      <c r="V14">
        <v>1851690.131428445</v>
      </c>
      <c r="W14">
        <v>2</v>
      </c>
    </row>
    <row r="15" spans="1:23" x14ac:dyDescent="0.25">
      <c r="D15" t="s">
        <v>34</v>
      </c>
      <c r="Q15">
        <v>262.85714285714283</v>
      </c>
      <c r="R15">
        <v>1876812.9746202547</v>
      </c>
      <c r="S15">
        <v>4</v>
      </c>
      <c r="U15">
        <v>262.85714285714283</v>
      </c>
      <c r="V15">
        <v>1877104.0626396784</v>
      </c>
      <c r="W15">
        <v>2</v>
      </c>
    </row>
    <row r="16" spans="1:23" x14ac:dyDescent="0.25">
      <c r="Q16">
        <v>263.26530612244898</v>
      </c>
      <c r="R16">
        <v>1902485.7322670529</v>
      </c>
      <c r="S16">
        <v>4</v>
      </c>
      <c r="U16">
        <v>263.26530612244898</v>
      </c>
      <c r="V16">
        <v>1902790.1724561811</v>
      </c>
      <c r="W16">
        <v>2</v>
      </c>
    </row>
    <row r="17" spans="1:23" x14ac:dyDescent="0.25">
      <c r="A17" t="s">
        <v>19</v>
      </c>
      <c r="B17" t="s">
        <v>20</v>
      </c>
      <c r="Q17">
        <v>263.67346938775512</v>
      </c>
      <c r="R17">
        <v>1928432.1228512102</v>
      </c>
      <c r="S17">
        <v>4</v>
      </c>
      <c r="U17">
        <v>263.67346938775512</v>
      </c>
      <c r="V17">
        <v>1928750.4717634346</v>
      </c>
      <c r="W17">
        <v>2</v>
      </c>
    </row>
    <row r="18" spans="1:23" x14ac:dyDescent="0.25">
      <c r="A18">
        <v>190.15</v>
      </c>
      <c r="B18">
        <v>8.251E-2</v>
      </c>
      <c r="D18">
        <f>B18*1000000</f>
        <v>82510</v>
      </c>
      <c r="Q18">
        <v>264.08163265306121</v>
      </c>
      <c r="R18">
        <v>1954654.1423356691</v>
      </c>
      <c r="S18">
        <v>4</v>
      </c>
      <c r="U18">
        <v>264.08163265306121</v>
      </c>
      <c r="V18">
        <v>1954986.9776633843</v>
      </c>
      <c r="W18">
        <v>2</v>
      </c>
    </row>
    <row r="19" spans="1:23" x14ac:dyDescent="0.25">
      <c r="A19">
        <v>198.15</v>
      </c>
      <c r="B19">
        <v>0.13139999999999999</v>
      </c>
      <c r="D19">
        <f t="shared" ref="D19:D22" si="2">B19*1000000</f>
        <v>131400</v>
      </c>
      <c r="Q19">
        <v>264.48979591836735</v>
      </c>
      <c r="R19">
        <v>1981153.7921005781</v>
      </c>
      <c r="S19">
        <v>4</v>
      </c>
      <c r="U19">
        <v>264.48979591836735</v>
      </c>
      <c r="V19">
        <v>1981501.7134036713</v>
      </c>
      <c r="W19">
        <v>2</v>
      </c>
    </row>
    <row r="20" spans="1:23" x14ac:dyDescent="0.25">
      <c r="A20">
        <v>208.15</v>
      </c>
      <c r="B20">
        <v>0.22189999999999999</v>
      </c>
      <c r="D20">
        <f t="shared" si="2"/>
        <v>221900</v>
      </c>
      <c r="Q20">
        <v>264.89795918367349</v>
      </c>
      <c r="R20">
        <v>2007933.0788481415</v>
      </c>
      <c r="S20">
        <v>4</v>
      </c>
      <c r="U20">
        <v>264.89795918367349</v>
      </c>
      <c r="V20">
        <v>2008296.7083049433</v>
      </c>
      <c r="W20">
        <v>2</v>
      </c>
    </row>
    <row r="21" spans="1:23" x14ac:dyDescent="0.25">
      <c r="A21">
        <v>218.15</v>
      </c>
      <c r="B21">
        <v>0.35709999999999997</v>
      </c>
      <c r="D21">
        <f t="shared" si="2"/>
        <v>357100</v>
      </c>
      <c r="Q21">
        <v>265.30612244897958</v>
      </c>
      <c r="R21">
        <v>2034994.0145050623</v>
      </c>
      <c r="S21">
        <v>4</v>
      </c>
      <c r="U21">
        <v>265.30612244897958</v>
      </c>
      <c r="V21">
        <v>2035373.9976863663</v>
      </c>
      <c r="W21">
        <v>2</v>
      </c>
    </row>
    <row r="22" spans="1:23" x14ac:dyDescent="0.25">
      <c r="A22">
        <v>243.15</v>
      </c>
      <c r="B22">
        <v>0.95499999999999996</v>
      </c>
      <c r="D22">
        <f t="shared" si="2"/>
        <v>955000</v>
      </c>
      <c r="Q22">
        <v>265.71428571428572</v>
      </c>
      <c r="R22">
        <v>2062338.6161224179</v>
      </c>
      <c r="S22">
        <v>4</v>
      </c>
      <c r="U22">
        <v>265.71428571428572</v>
      </c>
      <c r="V22">
        <v>2062735.6227891636</v>
      </c>
      <c r="W22">
        <v>2</v>
      </c>
    </row>
    <row r="23" spans="1:23" x14ac:dyDescent="0.25">
      <c r="A23">
        <v>262.39999999999998</v>
      </c>
      <c r="B23">
        <v>1.798</v>
      </c>
      <c r="D23">
        <f>B23*1000000</f>
        <v>1798000</v>
      </c>
      <c r="E23" s="2" t="s">
        <v>33</v>
      </c>
      <c r="Q23">
        <v>266.12244897959181</v>
      </c>
      <c r="R23">
        <v>2089968.9057729412</v>
      </c>
      <c r="S23">
        <v>4</v>
      </c>
      <c r="U23">
        <v>266.12244897959181</v>
      </c>
      <c r="V23">
        <v>2090383.6306982075</v>
      </c>
      <c r="W23">
        <v>2</v>
      </c>
    </row>
    <row r="24" spans="1:23" x14ac:dyDescent="0.25">
      <c r="Q24">
        <v>266.53061224489795</v>
      </c>
      <c r="R24">
        <v>2117886.9104457074</v>
      </c>
      <c r="S24">
        <v>4</v>
      </c>
      <c r="U24">
        <v>266.53061224489795</v>
      </c>
      <c r="V24">
        <v>2118320.0742616178</v>
      </c>
      <c r="W24">
        <v>2</v>
      </c>
    </row>
    <row r="25" spans="1:23" x14ac:dyDescent="0.25">
      <c r="A25" t="s">
        <v>19</v>
      </c>
      <c r="B25" t="s">
        <v>20</v>
      </c>
      <c r="C25" t="s">
        <v>19</v>
      </c>
      <c r="D25" t="s">
        <v>20</v>
      </c>
      <c r="Q25">
        <v>266.9387755102041</v>
      </c>
      <c r="R25">
        <v>2146094.6619381174</v>
      </c>
      <c r="S25">
        <v>4</v>
      </c>
      <c r="U25">
        <v>266.9387755102041</v>
      </c>
      <c r="V25">
        <v>2146547.0120083583</v>
      </c>
      <c r="W25">
        <v>2</v>
      </c>
    </row>
    <row r="26" spans="1:23" x14ac:dyDescent="0.25">
      <c r="A26">
        <v>266.10899999999998</v>
      </c>
      <c r="B26">
        <v>2.1162899999999998</v>
      </c>
      <c r="C26">
        <f>A26</f>
        <v>266.10899999999998</v>
      </c>
      <c r="D26">
        <f>B26*1000000</f>
        <v>2116290</v>
      </c>
      <c r="E26" s="3" t="s">
        <v>32</v>
      </c>
      <c r="Q26">
        <v>267.34693877551018</v>
      </c>
      <c r="R26">
        <v>2174594.1967451815</v>
      </c>
      <c r="S26">
        <v>4</v>
      </c>
      <c r="U26">
        <v>267.34693877551018</v>
      </c>
      <c r="V26">
        <v>2175066.5080637541</v>
      </c>
      <c r="W26">
        <v>2</v>
      </c>
    </row>
    <row r="27" spans="1:23" x14ac:dyDescent="0.25">
      <c r="A27">
        <v>266.60700000000003</v>
      </c>
      <c r="B27">
        <v>2.1162899999999998</v>
      </c>
      <c r="C27">
        <f t="shared" ref="C27:C43" si="3">A27</f>
        <v>266.60700000000003</v>
      </c>
      <c r="D27">
        <f t="shared" ref="D27:D43" si="4">B27*1000000</f>
        <v>2116290</v>
      </c>
      <c r="Q27">
        <v>267.75510204081633</v>
      </c>
      <c r="R27">
        <v>2203387.5559460334</v>
      </c>
      <c r="S27">
        <v>4</v>
      </c>
      <c r="U27">
        <v>267.75510204081633</v>
      </c>
      <c r="V27">
        <v>2203880.6320629334</v>
      </c>
      <c r="W27">
        <v>2</v>
      </c>
    </row>
    <row r="28" spans="1:23" x14ac:dyDescent="0.25">
      <c r="A28">
        <v>267.303</v>
      </c>
      <c r="B28">
        <v>2.1162899999999998</v>
      </c>
      <c r="C28">
        <f t="shared" si="3"/>
        <v>267.303</v>
      </c>
      <c r="D28">
        <f t="shared" si="4"/>
        <v>2116290</v>
      </c>
      <c r="Q28">
        <v>268.16326530612247</v>
      </c>
      <c r="R28">
        <v>2232476.7850876004</v>
      </c>
      <c r="S28">
        <v>4</v>
      </c>
      <c r="U28">
        <v>268.16326530612247</v>
      </c>
      <c r="V28">
        <v>2232991.4590621237</v>
      </c>
      <c r="W28">
        <v>2</v>
      </c>
    </row>
    <row r="29" spans="1:23" x14ac:dyDescent="0.25">
      <c r="A29">
        <v>268.19900000000001</v>
      </c>
      <c r="B29">
        <v>2.1950799999999999</v>
      </c>
      <c r="C29">
        <f t="shared" si="3"/>
        <v>268.19900000000001</v>
      </c>
      <c r="D29">
        <f t="shared" si="4"/>
        <v>2195080</v>
      </c>
      <c r="Q29">
        <v>268.57142857142856</v>
      </c>
      <c r="R29">
        <v>2261863.9340654197</v>
      </c>
      <c r="S29">
        <v>4</v>
      </c>
      <c r="U29">
        <v>268.57142857142856</v>
      </c>
      <c r="V29">
        <v>2262401.0694477828</v>
      </c>
      <c r="W29">
        <v>2</v>
      </c>
    </row>
    <row r="30" spans="1:23" x14ac:dyDescent="0.25">
      <c r="A30">
        <v>269.09500000000003</v>
      </c>
      <c r="B30">
        <v>2.2355700000000001</v>
      </c>
      <c r="C30">
        <f t="shared" si="3"/>
        <v>269.09500000000003</v>
      </c>
      <c r="D30">
        <f t="shared" si="4"/>
        <v>2235570</v>
      </c>
      <c r="Q30">
        <v>268.9795918367347</v>
      </c>
      <c r="R30">
        <v>2291551.0570015972</v>
      </c>
      <c r="S30">
        <v>4</v>
      </c>
      <c r="U30">
        <v>268.9795918367347</v>
      </c>
      <c r="V30">
        <v>2292111.548843604</v>
      </c>
      <c r="W30">
        <v>2</v>
      </c>
    </row>
    <row r="31" spans="1:23" x14ac:dyDescent="0.25">
      <c r="A31">
        <v>270.08999999999997</v>
      </c>
      <c r="B31">
        <v>2.2355700000000001</v>
      </c>
      <c r="C31">
        <f t="shared" si="3"/>
        <v>270.08999999999997</v>
      </c>
      <c r="D31">
        <f t="shared" si="4"/>
        <v>2235570</v>
      </c>
      <c r="Q31">
        <v>269.38775510204084</v>
      </c>
      <c r="R31">
        <v>2321540.2121196901</v>
      </c>
      <c r="S31">
        <v>4</v>
      </c>
      <c r="U31">
        <v>269.38775510204084</v>
      </c>
      <c r="V31">
        <v>2322124.9880151753</v>
      </c>
      <c r="W31">
        <v>2</v>
      </c>
    </row>
    <row r="32" spans="1:23" x14ac:dyDescent="0.25">
      <c r="A32">
        <v>271.28399999999999</v>
      </c>
      <c r="B32">
        <v>2.3188</v>
      </c>
      <c r="C32">
        <f t="shared" si="3"/>
        <v>271.28399999999999</v>
      </c>
      <c r="D32">
        <f t="shared" si="4"/>
        <v>2318800</v>
      </c>
      <c r="Q32">
        <v>269.79591836734693</v>
      </c>
      <c r="R32">
        <v>2351833.4616166917</v>
      </c>
      <c r="S32">
        <v>4</v>
      </c>
      <c r="U32">
        <v>269.79591836734693</v>
      </c>
      <c r="V32">
        <v>2352443.482772476</v>
      </c>
      <c r="W32">
        <v>2</v>
      </c>
    </row>
    <row r="33" spans="1:23" x14ac:dyDescent="0.25">
      <c r="A33">
        <v>272.279</v>
      </c>
      <c r="B33">
        <v>2.3615699999999999</v>
      </c>
      <c r="C33">
        <f t="shared" si="3"/>
        <v>272.279</v>
      </c>
      <c r="D33">
        <f t="shared" si="4"/>
        <v>2361570</v>
      </c>
      <c r="Q33">
        <v>270.20408163265307</v>
      </c>
      <c r="R33">
        <v>2382432.8715319023</v>
      </c>
      <c r="S33">
        <v>4</v>
      </c>
      <c r="U33">
        <v>270.20408163265307</v>
      </c>
      <c r="V33">
        <v>2383069.1338700294</v>
      </c>
      <c r="W33">
        <v>2</v>
      </c>
    </row>
    <row r="34" spans="1:23" x14ac:dyDescent="0.25">
      <c r="A34">
        <v>272.97500000000002</v>
      </c>
      <c r="B34">
        <v>2.3615699999999999</v>
      </c>
      <c r="C34">
        <f t="shared" si="3"/>
        <v>272.97500000000002</v>
      </c>
      <c r="D34">
        <f t="shared" si="4"/>
        <v>2361570</v>
      </c>
      <c r="Q34">
        <v>270.61224489795916</v>
      </c>
      <c r="R34">
        <v>2413340.5116126887</v>
      </c>
      <c r="S34">
        <v>4</v>
      </c>
      <c r="U34">
        <v>270.61224489795916</v>
      </c>
      <c r="V34">
        <v>2414004.0469047301</v>
      </c>
      <c r="W34">
        <v>2</v>
      </c>
    </row>
    <row r="35" spans="1:23" x14ac:dyDescent="0.25">
      <c r="A35">
        <v>273.87099999999998</v>
      </c>
      <c r="B35">
        <v>2.6838799999999998</v>
      </c>
      <c r="C35">
        <f t="shared" si="3"/>
        <v>273.87099999999998</v>
      </c>
      <c r="D35">
        <f t="shared" si="4"/>
        <v>2683880</v>
      </c>
      <c r="Q35">
        <v>271.0204081632653</v>
      </c>
      <c r="R35">
        <v>2444558.4551771246</v>
      </c>
      <c r="S35">
        <v>4</v>
      </c>
      <c r="U35">
        <v>271.0204081632653</v>
      </c>
      <c r="V35">
        <v>2445250.3322113059</v>
      </c>
      <c r="W35">
        <v>2</v>
      </c>
    </row>
    <row r="36" spans="1:23" x14ac:dyDescent="0.25">
      <c r="A36">
        <v>274.56700000000001</v>
      </c>
      <c r="B36">
        <v>2.9407000000000001</v>
      </c>
      <c r="C36">
        <f t="shared" si="3"/>
        <v>274.56700000000001</v>
      </c>
      <c r="D36">
        <f t="shared" si="4"/>
        <v>2940700</v>
      </c>
      <c r="Q36">
        <v>271.42857142857144</v>
      </c>
      <c r="R36">
        <v>2476088.7789734127</v>
      </c>
      <c r="S36">
        <v>4</v>
      </c>
      <c r="U36">
        <v>271.42857142857144</v>
      </c>
      <c r="V36">
        <v>2476810.1047554105</v>
      </c>
      <c r="W36">
        <v>2</v>
      </c>
    </row>
    <row r="37" spans="1:23" x14ac:dyDescent="0.25">
      <c r="A37">
        <v>275.26400000000001</v>
      </c>
      <c r="B37">
        <v>3.1637499999999998</v>
      </c>
      <c r="C37">
        <f t="shared" si="3"/>
        <v>275.26400000000001</v>
      </c>
      <c r="D37">
        <f t="shared" si="4"/>
        <v>3163750</v>
      </c>
      <c r="Q37">
        <v>271.83673469387753</v>
      </c>
      <c r="R37">
        <v>2507933.5630360274</v>
      </c>
      <c r="S37">
        <v>4</v>
      </c>
      <c r="U37">
        <v>271.83673469387753</v>
      </c>
      <c r="V37">
        <v>2508685.4840242099</v>
      </c>
      <c r="W37">
        <v>2</v>
      </c>
    </row>
    <row r="38" spans="1:23" x14ac:dyDescent="0.25">
      <c r="A38">
        <v>276.06</v>
      </c>
      <c r="B38">
        <v>3.4664899999999998</v>
      </c>
      <c r="C38">
        <f t="shared" si="3"/>
        <v>276.06</v>
      </c>
      <c r="D38">
        <f t="shared" si="4"/>
        <v>3466490</v>
      </c>
      <c r="Q38">
        <v>272.24489795918367</v>
      </c>
      <c r="R38">
        <v>2540094.8905386282</v>
      </c>
      <c r="S38">
        <v>4</v>
      </c>
      <c r="U38">
        <v>272.24489795918367</v>
      </c>
      <c r="V38">
        <v>2540878.5939146141</v>
      </c>
      <c r="W38">
        <v>2</v>
      </c>
    </row>
    <row r="39" spans="1:23" x14ac:dyDescent="0.25">
      <c r="A39">
        <v>276.75599999999997</v>
      </c>
      <c r="B39">
        <v>3.8682500000000002</v>
      </c>
      <c r="C39">
        <f t="shared" si="3"/>
        <v>276.75599999999997</v>
      </c>
      <c r="D39">
        <f t="shared" si="4"/>
        <v>3868250</v>
      </c>
      <c r="Q39">
        <v>272.65306122448982</v>
      </c>
      <c r="R39">
        <v>2572574.8476435579</v>
      </c>
      <c r="S39">
        <v>4</v>
      </c>
      <c r="U39">
        <v>272.65306122448982</v>
      </c>
      <c r="V39">
        <v>2573391.5626188931</v>
      </c>
      <c r="W39">
        <v>2</v>
      </c>
    </row>
    <row r="40" spans="1:23" x14ac:dyDescent="0.25">
      <c r="A40">
        <v>277.65199999999999</v>
      </c>
      <c r="B40">
        <v>4.3165899999999997</v>
      </c>
      <c r="C40">
        <f t="shared" si="3"/>
        <v>277.65199999999999</v>
      </c>
      <c r="D40">
        <f t="shared" si="4"/>
        <v>4316590</v>
      </c>
      <c r="Q40">
        <v>273.0612244897959</v>
      </c>
      <c r="R40">
        <v>2605375.5233479948</v>
      </c>
      <c r="S40">
        <v>4</v>
      </c>
      <c r="U40">
        <v>273.0612244897959</v>
      </c>
      <c r="V40">
        <v>2606226.5225078692</v>
      </c>
      <c r="W40">
        <v>2</v>
      </c>
    </row>
    <row r="41" spans="1:23" x14ac:dyDescent="0.25">
      <c r="A41">
        <v>278.44799999999998</v>
      </c>
      <c r="B41">
        <v>4.9057300000000001</v>
      </c>
      <c r="C41">
        <f t="shared" si="3"/>
        <v>278.44799999999998</v>
      </c>
      <c r="D41">
        <f t="shared" si="4"/>
        <v>4905730</v>
      </c>
      <c r="Q41">
        <v>273.46938775510205</v>
      </c>
      <c r="R41">
        <v>2729031.184152198</v>
      </c>
      <c r="S41">
        <v>4</v>
      </c>
      <c r="U41">
        <v>273.46938775510205</v>
      </c>
      <c r="V41">
        <v>2729370.9932663338</v>
      </c>
      <c r="W41">
        <v>2</v>
      </c>
    </row>
    <row r="42" spans="1:23" x14ac:dyDescent="0.25">
      <c r="A42">
        <v>279.24400000000003</v>
      </c>
      <c r="B42">
        <v>5.3751600000000002</v>
      </c>
      <c r="C42">
        <f t="shared" si="3"/>
        <v>279.24400000000003</v>
      </c>
      <c r="D42">
        <f t="shared" si="4"/>
        <v>5375160</v>
      </c>
      <c r="Q42">
        <v>273.87755102040819</v>
      </c>
      <c r="R42">
        <v>2839898.1324009509</v>
      </c>
      <c r="S42">
        <v>4</v>
      </c>
      <c r="U42">
        <v>273.87755102040819</v>
      </c>
      <c r="V42">
        <v>2840346.2157391044</v>
      </c>
      <c r="W42">
        <v>2</v>
      </c>
    </row>
    <row r="43" spans="1:23" x14ac:dyDescent="0.25">
      <c r="A43">
        <v>280.04000000000002</v>
      </c>
      <c r="B43">
        <v>5.8895099999999996</v>
      </c>
      <c r="C43">
        <f t="shared" si="3"/>
        <v>280.04000000000002</v>
      </c>
      <c r="D43">
        <f t="shared" si="4"/>
        <v>5889510</v>
      </c>
      <c r="Q43">
        <v>274.28571428571428</v>
      </c>
      <c r="R43">
        <v>2955541.1686302843</v>
      </c>
      <c r="S43">
        <v>4</v>
      </c>
      <c r="U43">
        <v>274.28571428571428</v>
      </c>
      <c r="V43">
        <v>2955988.6859549182</v>
      </c>
      <c r="W43">
        <v>2</v>
      </c>
    </row>
    <row r="44" spans="1:23" x14ac:dyDescent="0.25">
      <c r="A44">
        <v>280.73599999999999</v>
      </c>
      <c r="B44">
        <v>6.4530799999999999</v>
      </c>
      <c r="Q44">
        <v>274.69387755102042</v>
      </c>
      <c r="R44">
        <v>3076197.5641819565</v>
      </c>
      <c r="S44">
        <v>4</v>
      </c>
      <c r="U44">
        <v>274.69387755102042</v>
      </c>
      <c r="V44">
        <v>3076642.6934553361</v>
      </c>
      <c r="W44">
        <v>2</v>
      </c>
    </row>
    <row r="45" spans="1:23" x14ac:dyDescent="0.25">
      <c r="A45">
        <v>281.43299999999999</v>
      </c>
      <c r="B45">
        <v>7.0705799999999996</v>
      </c>
      <c r="Q45">
        <v>275.10204081632651</v>
      </c>
      <c r="R45">
        <v>3202119.3076602016</v>
      </c>
      <c r="S45">
        <v>4</v>
      </c>
      <c r="U45">
        <v>275.10204081632651</v>
      </c>
      <c r="V45">
        <v>3202561.0649399557</v>
      </c>
      <c r="W45">
        <v>2</v>
      </c>
    </row>
    <row r="46" spans="1:23" x14ac:dyDescent="0.25">
      <c r="A46">
        <v>282.12900000000002</v>
      </c>
      <c r="B46">
        <v>7.7471699999999997</v>
      </c>
      <c r="Q46">
        <v>275.51020408163265</v>
      </c>
      <c r="R46">
        <v>3333574.2632793034</v>
      </c>
      <c r="S46">
        <v>4</v>
      </c>
      <c r="U46">
        <v>275.51020408163265</v>
      </c>
      <c r="V46">
        <v>3334011.8475417765</v>
      </c>
      <c r="W46">
        <v>2</v>
      </c>
    </row>
    <row r="47" spans="1:23" x14ac:dyDescent="0.25">
      <c r="A47">
        <v>282.92500000000001</v>
      </c>
      <c r="B47">
        <v>8.4885000000000002</v>
      </c>
      <c r="Q47">
        <v>275.91836734693879</v>
      </c>
      <c r="R47">
        <v>3470847.4391078688</v>
      </c>
      <c r="S47">
        <v>4</v>
      </c>
      <c r="U47">
        <v>275.91836734693879</v>
      </c>
      <c r="V47">
        <v>3471280.3291023821</v>
      </c>
      <c r="W47">
        <v>2</v>
      </c>
    </row>
    <row r="48" spans="1:23" x14ac:dyDescent="0.25">
      <c r="A48">
        <v>283.721</v>
      </c>
      <c r="B48">
        <v>9.6470300000000009</v>
      </c>
      <c r="Q48">
        <v>276.32653061224488</v>
      </c>
      <c r="R48">
        <v>3614242.3768618493</v>
      </c>
      <c r="S48">
        <v>4</v>
      </c>
      <c r="U48">
        <v>276.32653061224488</v>
      </c>
      <c r="V48">
        <v>3614670.4639979531</v>
      </c>
      <c r="W48">
        <v>2</v>
      </c>
    </row>
    <row r="49" spans="1:23" x14ac:dyDescent="0.25">
      <c r="A49">
        <v>284.61700000000002</v>
      </c>
      <c r="B49">
        <v>10.7651</v>
      </c>
      <c r="Q49">
        <v>276.73469387755102</v>
      </c>
      <c r="R49">
        <v>3764082.6761566796</v>
      </c>
      <c r="S49">
        <v>4</v>
      </c>
      <c r="U49">
        <v>276.73469387755102</v>
      </c>
      <c r="V49">
        <v>3766034.2424688321</v>
      </c>
      <c r="W49">
        <v>3</v>
      </c>
    </row>
    <row r="50" spans="1:23" x14ac:dyDescent="0.25">
      <c r="A50">
        <v>285.41300000000001</v>
      </c>
      <c r="B50">
        <v>11.795199999999999</v>
      </c>
      <c r="Q50">
        <v>277.14285714285717</v>
      </c>
      <c r="R50">
        <v>3920713.6674960805</v>
      </c>
      <c r="S50">
        <v>4</v>
      </c>
      <c r="U50">
        <v>277.14285714285717</v>
      </c>
      <c r="V50">
        <v>3922843.3933275347</v>
      </c>
      <c r="W50">
        <v>3</v>
      </c>
    </row>
    <row r="51" spans="1:23" x14ac:dyDescent="0.25">
      <c r="A51">
        <v>286.40800000000002</v>
      </c>
      <c r="B51">
        <v>13.405099999999999</v>
      </c>
      <c r="Q51">
        <v>277.55102040816325</v>
      </c>
      <c r="R51">
        <v>4084504.2497568615</v>
      </c>
      <c r="S51">
        <v>4</v>
      </c>
      <c r="U51">
        <v>277.55102040816325</v>
      </c>
      <c r="V51">
        <v>4086834.5583520876</v>
      </c>
      <c r="W51">
        <v>3</v>
      </c>
    </row>
    <row r="52" spans="1:23" x14ac:dyDescent="0.25">
      <c r="A52">
        <v>287.303</v>
      </c>
      <c r="B52">
        <v>15.2347</v>
      </c>
      <c r="Q52">
        <v>277.9591836734694</v>
      </c>
      <c r="R52">
        <v>4255848.9095150335</v>
      </c>
      <c r="S52">
        <v>4</v>
      </c>
      <c r="U52">
        <v>277.9591836734694</v>
      </c>
      <c r="V52">
        <v>4258408.0075917309</v>
      </c>
      <c r="W52">
        <v>3</v>
      </c>
    </row>
    <row r="53" spans="1:23" x14ac:dyDescent="0.25">
      <c r="A53">
        <v>288.19900000000001</v>
      </c>
      <c r="B53">
        <v>17.000399999999999</v>
      </c>
      <c r="Q53">
        <v>278.36734693877554</v>
      </c>
      <c r="R53">
        <v>4435169.9412382105</v>
      </c>
      <c r="S53">
        <v>4</v>
      </c>
      <c r="U53">
        <v>278.36734693877554</v>
      </c>
      <c r="V53">
        <v>4437990.9844481405</v>
      </c>
      <c r="W53">
        <v>3</v>
      </c>
    </row>
    <row r="54" spans="1:23" x14ac:dyDescent="0.25">
      <c r="A54">
        <v>289.09500000000003</v>
      </c>
      <c r="B54">
        <v>19.320599999999999</v>
      </c>
      <c r="Q54">
        <v>278.77551020408163</v>
      </c>
      <c r="R54">
        <v>4622919.889121077</v>
      </c>
      <c r="S54">
        <v>4</v>
      </c>
      <c r="U54">
        <v>278.77551020408163</v>
      </c>
      <c r="V54">
        <v>4626041.9354220498</v>
      </c>
      <c r="W54">
        <v>3</v>
      </c>
    </row>
    <row r="55" spans="1:23" x14ac:dyDescent="0.25">
      <c r="A55">
        <v>289.99</v>
      </c>
      <c r="B55">
        <v>21.559899999999999</v>
      </c>
      <c r="Q55">
        <v>279.18367346938777</v>
      </c>
      <c r="R55">
        <v>4819584.2331296904</v>
      </c>
      <c r="S55">
        <v>4</v>
      </c>
      <c r="U55">
        <v>279.18367346938777</v>
      </c>
      <c r="V55">
        <v>4823053.3897842048</v>
      </c>
      <c r="W55">
        <v>3</v>
      </c>
    </row>
    <row r="56" spans="1:23" x14ac:dyDescent="0.25">
      <c r="A56">
        <v>290.98500000000001</v>
      </c>
      <c r="B56">
        <v>24.502500000000001</v>
      </c>
      <c r="Q56">
        <v>279.59183673469386</v>
      </c>
      <c r="R56">
        <v>5025684.3435909944</v>
      </c>
      <c r="S56">
        <v>4</v>
      </c>
      <c r="U56">
        <v>279.59183673469386</v>
      </c>
      <c r="V56">
        <v>5029555.143797921</v>
      </c>
      <c r="W56">
        <v>3</v>
      </c>
    </row>
    <row r="57" spans="1:23" x14ac:dyDescent="0.25">
      <c r="A57">
        <v>291.78100000000001</v>
      </c>
      <c r="B57">
        <v>26.847100000000001</v>
      </c>
      <c r="Q57">
        <v>280</v>
      </c>
      <c r="R57">
        <v>5241780.7303484622</v>
      </c>
      <c r="S57">
        <v>4</v>
      </c>
      <c r="U57">
        <v>280</v>
      </c>
      <c r="V57">
        <v>5246117.7847892642</v>
      </c>
      <c r="W57">
        <v>3</v>
      </c>
    </row>
    <row r="58" spans="1:23" x14ac:dyDescent="0.25">
      <c r="A58">
        <v>292.67700000000002</v>
      </c>
      <c r="B58">
        <v>30.511299999999999</v>
      </c>
    </row>
    <row r="59" spans="1:23" x14ac:dyDescent="0.25">
      <c r="A59">
        <v>293.572</v>
      </c>
      <c r="B59">
        <v>34.047600000000003</v>
      </c>
    </row>
    <row r="60" spans="1:23" x14ac:dyDescent="0.25">
      <c r="A60">
        <v>294.46800000000002</v>
      </c>
      <c r="B60">
        <v>38.694499999999998</v>
      </c>
    </row>
    <row r="61" spans="1:23" x14ac:dyDescent="0.25">
      <c r="A61">
        <v>295.46300000000002</v>
      </c>
      <c r="B61">
        <v>43.179200000000002</v>
      </c>
    </row>
    <row r="62" spans="1:23" x14ac:dyDescent="0.25">
      <c r="A62">
        <v>296.25900000000001</v>
      </c>
      <c r="B62">
        <v>48.183700000000002</v>
      </c>
    </row>
    <row r="63" spans="1:23" x14ac:dyDescent="0.25">
      <c r="A63">
        <v>297.05500000000001</v>
      </c>
      <c r="B63">
        <v>53.7682</v>
      </c>
    </row>
    <row r="64" spans="1:23" x14ac:dyDescent="0.25">
      <c r="A64">
        <v>297.851</v>
      </c>
      <c r="B64">
        <v>58.9133</v>
      </c>
    </row>
    <row r="65" spans="1:2" x14ac:dyDescent="0.25">
      <c r="A65">
        <v>298.64699999999999</v>
      </c>
      <c r="B65">
        <v>65.741399999999999</v>
      </c>
    </row>
    <row r="66" spans="1:2" x14ac:dyDescent="0.25">
      <c r="A66">
        <v>299.44299999999998</v>
      </c>
      <c r="B66">
        <v>73.360900000000001</v>
      </c>
    </row>
    <row r="67" spans="1:2" x14ac:dyDescent="0.25">
      <c r="A67">
        <v>300.33800000000002</v>
      </c>
      <c r="B67">
        <v>81.863399999999999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8:E59"/>
  <sheetViews>
    <sheetView workbookViewId="0">
      <selection activeCell="F8" sqref="F8"/>
    </sheetView>
  </sheetViews>
  <sheetFormatPr defaultRowHeight="15" x14ac:dyDescent="0.25"/>
  <sheetData>
    <row r="8" spans="2:5" ht="15.75" thickBot="1" x14ac:dyDescent="0.3"/>
    <row r="9" spans="2:5" ht="16.5" thickTop="1" thickBot="1" x14ac:dyDescent="0.3">
      <c r="B9" s="4" t="s">
        <v>19</v>
      </c>
      <c r="C9" s="4" t="s">
        <v>20</v>
      </c>
      <c r="D9" s="4" t="s">
        <v>40</v>
      </c>
    </row>
    <row r="10" spans="2:5" ht="15.75" thickTop="1" x14ac:dyDescent="0.25">
      <c r="B10" s="7">
        <v>260</v>
      </c>
      <c r="C10" s="7">
        <v>1704935.8758091906</v>
      </c>
      <c r="D10" s="7">
        <v>4</v>
      </c>
      <c r="E10">
        <f>C10/100000</f>
        <v>17.049358758091905</v>
      </c>
    </row>
    <row r="11" spans="2:5" x14ac:dyDescent="0.25">
      <c r="B11" s="7">
        <v>260.40816326530614</v>
      </c>
      <c r="C11" s="7">
        <v>1728633.6560684445</v>
      </c>
      <c r="D11" s="7">
        <v>2</v>
      </c>
      <c r="E11">
        <f t="shared" ref="E11:E59" si="0">C11/100000</f>
        <v>17.286336560684443</v>
      </c>
    </row>
    <row r="12" spans="2:5" x14ac:dyDescent="0.25">
      <c r="B12" s="7">
        <v>260.81632653061223</v>
      </c>
      <c r="C12" s="7">
        <v>1752716.1978788436</v>
      </c>
      <c r="D12" s="7">
        <v>2</v>
      </c>
      <c r="E12">
        <f t="shared" si="0"/>
        <v>17.527161978788435</v>
      </c>
    </row>
    <row r="13" spans="2:5" x14ac:dyDescent="0.25">
      <c r="B13" s="7">
        <v>261.22448979591837</v>
      </c>
      <c r="C13" s="7">
        <v>1777061.3952599249</v>
      </c>
      <c r="D13" s="7">
        <v>2</v>
      </c>
      <c r="E13">
        <f t="shared" si="0"/>
        <v>17.770613952599248</v>
      </c>
    </row>
    <row r="14" spans="2:5" x14ac:dyDescent="0.25">
      <c r="B14" s="7">
        <v>261.63265306122452</v>
      </c>
      <c r="C14" s="7">
        <v>1801670.7927741767</v>
      </c>
      <c r="D14" s="7">
        <v>2</v>
      </c>
      <c r="E14">
        <f t="shared" si="0"/>
        <v>18.016707927741766</v>
      </c>
    </row>
    <row r="15" spans="2:5" x14ac:dyDescent="0.25">
      <c r="B15" s="7">
        <v>262.0408163265306</v>
      </c>
      <c r="C15" s="7">
        <v>1826546.3742224169</v>
      </c>
      <c r="D15" s="7">
        <v>2</v>
      </c>
      <c r="E15">
        <f t="shared" si="0"/>
        <v>18.265463742224171</v>
      </c>
    </row>
    <row r="16" spans="2:5" x14ac:dyDescent="0.25">
      <c r="B16" s="7">
        <v>262.44897959183675</v>
      </c>
      <c r="C16" s="7">
        <v>1851690.131428445</v>
      </c>
      <c r="D16" s="7">
        <v>2</v>
      </c>
      <c r="E16">
        <f t="shared" si="0"/>
        <v>18.51690131428445</v>
      </c>
    </row>
    <row r="17" spans="2:5" x14ac:dyDescent="0.25">
      <c r="B17" s="7">
        <v>262.85714285714283</v>
      </c>
      <c r="C17" s="7">
        <v>1877104.0626396784</v>
      </c>
      <c r="D17" s="7">
        <v>2</v>
      </c>
      <c r="E17">
        <f t="shared" si="0"/>
        <v>18.771040626396783</v>
      </c>
    </row>
    <row r="18" spans="2:5" x14ac:dyDescent="0.25">
      <c r="B18" s="7">
        <v>263.26530612244898</v>
      </c>
      <c r="C18" s="7">
        <v>1902790.1724561811</v>
      </c>
      <c r="D18" s="7">
        <v>2</v>
      </c>
      <c r="E18">
        <f t="shared" si="0"/>
        <v>19.027901724561811</v>
      </c>
    </row>
    <row r="19" spans="2:5" x14ac:dyDescent="0.25">
      <c r="B19" s="7">
        <v>263.67346938775512</v>
      </c>
      <c r="C19" s="7">
        <v>1928750.4717634346</v>
      </c>
      <c r="D19" s="7">
        <v>2</v>
      </c>
      <c r="E19">
        <f t="shared" si="0"/>
        <v>19.287504717634345</v>
      </c>
    </row>
    <row r="20" spans="2:5" x14ac:dyDescent="0.25">
      <c r="B20" s="7">
        <v>264.08163265306121</v>
      </c>
      <c r="C20" s="7">
        <v>1954986.9776633843</v>
      </c>
      <c r="D20" s="7">
        <v>2</v>
      </c>
      <c r="E20">
        <f t="shared" si="0"/>
        <v>19.549869776633845</v>
      </c>
    </row>
    <row r="21" spans="2:5" x14ac:dyDescent="0.25">
      <c r="B21" s="7">
        <v>264.48979591836735</v>
      </c>
      <c r="C21" s="7">
        <v>1981501.7134036713</v>
      </c>
      <c r="D21" s="7">
        <v>2</v>
      </c>
      <c r="E21">
        <f t="shared" si="0"/>
        <v>19.815017134036712</v>
      </c>
    </row>
    <row r="22" spans="2:5" x14ac:dyDescent="0.25">
      <c r="B22" s="7">
        <v>264.89795918367349</v>
      </c>
      <c r="C22" s="7">
        <v>2008296.7083049433</v>
      </c>
      <c r="D22" s="7">
        <v>2</v>
      </c>
      <c r="E22">
        <f t="shared" si="0"/>
        <v>20.082967083049432</v>
      </c>
    </row>
    <row r="23" spans="2:5" x14ac:dyDescent="0.25">
      <c r="B23" s="7">
        <v>265.30612244897958</v>
      </c>
      <c r="C23" s="7">
        <v>2035373.9976863663</v>
      </c>
      <c r="D23" s="7">
        <v>2</v>
      </c>
      <c r="E23">
        <f t="shared" si="0"/>
        <v>20.353739976863665</v>
      </c>
    </row>
    <row r="24" spans="2:5" x14ac:dyDescent="0.25">
      <c r="B24" s="7">
        <v>265.71428571428572</v>
      </c>
      <c r="C24" s="7">
        <v>2062735.6227891636</v>
      </c>
      <c r="D24" s="7">
        <v>2</v>
      </c>
      <c r="E24">
        <f t="shared" si="0"/>
        <v>20.627356227891635</v>
      </c>
    </row>
    <row r="25" spans="2:5" x14ac:dyDescent="0.25">
      <c r="B25" s="7">
        <v>266.12244897959181</v>
      </c>
      <c r="C25" s="7">
        <v>2090383.6306982075</v>
      </c>
      <c r="D25" s="7">
        <v>2</v>
      </c>
      <c r="E25">
        <f t="shared" si="0"/>
        <v>20.903836306982075</v>
      </c>
    </row>
    <row r="26" spans="2:5" x14ac:dyDescent="0.25">
      <c r="B26" s="7">
        <v>266.53061224489795</v>
      </c>
      <c r="C26" s="7">
        <v>2118320.0742616178</v>
      </c>
      <c r="D26" s="7">
        <v>2</v>
      </c>
      <c r="E26">
        <f t="shared" si="0"/>
        <v>21.183200742616179</v>
      </c>
    </row>
    <row r="27" spans="2:5" x14ac:dyDescent="0.25">
      <c r="B27" s="7">
        <v>266.9387755102041</v>
      </c>
      <c r="C27" s="7">
        <v>2146547.0120083583</v>
      </c>
      <c r="D27" s="7">
        <v>2</v>
      </c>
      <c r="E27">
        <f t="shared" si="0"/>
        <v>21.465470120083584</v>
      </c>
    </row>
    <row r="28" spans="2:5" x14ac:dyDescent="0.25">
      <c r="B28" s="7">
        <v>267.34693877551018</v>
      </c>
      <c r="C28" s="7">
        <v>2175066.5080637541</v>
      </c>
      <c r="D28" s="7">
        <v>2</v>
      </c>
      <c r="E28">
        <f t="shared" si="0"/>
        <v>21.750665080637539</v>
      </c>
    </row>
    <row r="29" spans="2:5" x14ac:dyDescent="0.25">
      <c r="B29" s="7">
        <v>267.75510204081633</v>
      </c>
      <c r="C29" s="7">
        <v>2203880.6320629334</v>
      </c>
      <c r="D29" s="7">
        <v>2</v>
      </c>
      <c r="E29">
        <f t="shared" si="0"/>
        <v>22.038806320629334</v>
      </c>
    </row>
    <row r="30" spans="2:5" x14ac:dyDescent="0.25">
      <c r="B30" s="7">
        <v>268.16326530612247</v>
      </c>
      <c r="C30" s="7">
        <v>2232991.4590621237</v>
      </c>
      <c r="D30" s="7">
        <v>2</v>
      </c>
      <c r="E30">
        <f t="shared" si="0"/>
        <v>22.329914590621236</v>
      </c>
    </row>
    <row r="31" spans="2:5" x14ac:dyDescent="0.25">
      <c r="B31" s="7">
        <v>268.57142857142856</v>
      </c>
      <c r="C31" s="7">
        <v>2262401.0694477828</v>
      </c>
      <c r="D31" s="7">
        <v>2</v>
      </c>
      <c r="E31">
        <f t="shared" si="0"/>
        <v>22.624010694477828</v>
      </c>
    </row>
    <row r="32" spans="2:5" x14ac:dyDescent="0.25">
      <c r="B32" s="7">
        <v>268.9795918367347</v>
      </c>
      <c r="C32" s="7">
        <v>2292111.548843604</v>
      </c>
      <c r="D32" s="7">
        <v>2</v>
      </c>
      <c r="E32">
        <f t="shared" si="0"/>
        <v>22.92111548843604</v>
      </c>
    </row>
    <row r="33" spans="2:5" x14ac:dyDescent="0.25">
      <c r="B33" s="7">
        <v>269.38775510204084</v>
      </c>
      <c r="C33" s="7">
        <v>2322124.9880151753</v>
      </c>
      <c r="D33" s="7">
        <v>2</v>
      </c>
      <c r="E33">
        <f t="shared" si="0"/>
        <v>23.221249880151753</v>
      </c>
    </row>
    <row r="34" spans="2:5" x14ac:dyDescent="0.25">
      <c r="B34" s="7">
        <v>269.79591836734693</v>
      </c>
      <c r="C34" s="7">
        <v>2352443.482772476</v>
      </c>
      <c r="D34" s="7">
        <v>2</v>
      </c>
      <c r="E34">
        <f t="shared" si="0"/>
        <v>23.524434827724761</v>
      </c>
    </row>
    <row r="35" spans="2:5" x14ac:dyDescent="0.25">
      <c r="B35" s="7">
        <v>270.20408163265307</v>
      </c>
      <c r="C35" s="7">
        <v>2383069.1338700294</v>
      </c>
      <c r="D35" s="7">
        <v>2</v>
      </c>
      <c r="E35">
        <f t="shared" si="0"/>
        <v>23.830691338700294</v>
      </c>
    </row>
    <row r="36" spans="2:5" x14ac:dyDescent="0.25">
      <c r="B36" s="7">
        <v>270.61224489795916</v>
      </c>
      <c r="C36" s="7">
        <v>2414004.0469047301</v>
      </c>
      <c r="D36" s="7">
        <v>2</v>
      </c>
      <c r="E36">
        <f t="shared" si="0"/>
        <v>24.140040469047303</v>
      </c>
    </row>
    <row r="37" spans="2:5" x14ac:dyDescent="0.25">
      <c r="B37" s="7">
        <v>271.0204081632653</v>
      </c>
      <c r="C37" s="7">
        <v>2445250.3322113059</v>
      </c>
      <c r="D37" s="7">
        <v>2</v>
      </c>
      <c r="E37">
        <f t="shared" si="0"/>
        <v>24.45250332211306</v>
      </c>
    </row>
    <row r="38" spans="2:5" x14ac:dyDescent="0.25">
      <c r="B38" s="7">
        <v>271.42857142857144</v>
      </c>
      <c r="C38" s="7">
        <v>2476810.1047554105</v>
      </c>
      <c r="D38" s="7">
        <v>2</v>
      </c>
      <c r="E38">
        <f t="shared" si="0"/>
        <v>24.768101047554104</v>
      </c>
    </row>
    <row r="39" spans="2:5" x14ac:dyDescent="0.25">
      <c r="B39" s="7">
        <v>271.83673469387753</v>
      </c>
      <c r="C39" s="7">
        <v>2508685.4840242099</v>
      </c>
      <c r="D39" s="7">
        <v>2</v>
      </c>
      <c r="E39">
        <f t="shared" si="0"/>
        <v>25.086854840242101</v>
      </c>
    </row>
    <row r="40" spans="2:5" x14ac:dyDescent="0.25">
      <c r="B40" s="7">
        <v>272.24489795918367</v>
      </c>
      <c r="C40" s="7">
        <v>2540878.5939146141</v>
      </c>
      <c r="D40" s="7">
        <v>2</v>
      </c>
      <c r="E40">
        <f t="shared" si="0"/>
        <v>25.408785939146142</v>
      </c>
    </row>
    <row r="41" spans="2:5" x14ac:dyDescent="0.25">
      <c r="B41" s="7">
        <v>272.65306122448982</v>
      </c>
      <c r="C41" s="7">
        <v>2573391.5626188931</v>
      </c>
      <c r="D41" s="7">
        <v>2</v>
      </c>
      <c r="E41">
        <f t="shared" si="0"/>
        <v>25.733915626188931</v>
      </c>
    </row>
    <row r="42" spans="2:5" x14ac:dyDescent="0.25">
      <c r="B42" s="7">
        <v>273.0612244897959</v>
      </c>
      <c r="C42" s="7">
        <v>2606226.5225078692</v>
      </c>
      <c r="D42" s="7">
        <v>2</v>
      </c>
      <c r="E42">
        <f t="shared" si="0"/>
        <v>26.062265225078693</v>
      </c>
    </row>
    <row r="43" spans="2:5" x14ac:dyDescent="0.25">
      <c r="B43" s="7">
        <v>273.46938775510205</v>
      </c>
      <c r="C43" s="7">
        <v>2729370.9932663338</v>
      </c>
      <c r="D43" s="7">
        <v>2</v>
      </c>
      <c r="E43">
        <f t="shared" si="0"/>
        <v>27.293709932663337</v>
      </c>
    </row>
    <row r="44" spans="2:5" x14ac:dyDescent="0.25">
      <c r="B44" s="7">
        <v>273.87755102040819</v>
      </c>
      <c r="C44" s="7">
        <v>2840346.2157391044</v>
      </c>
      <c r="D44" s="7">
        <v>2</v>
      </c>
      <c r="E44">
        <f t="shared" si="0"/>
        <v>28.403462157391044</v>
      </c>
    </row>
    <row r="45" spans="2:5" x14ac:dyDescent="0.25">
      <c r="B45" s="7">
        <v>274.28571428571428</v>
      </c>
      <c r="C45" s="7">
        <v>2955988.6859549182</v>
      </c>
      <c r="D45" s="7">
        <v>2</v>
      </c>
      <c r="E45">
        <f t="shared" si="0"/>
        <v>29.559886859549181</v>
      </c>
    </row>
    <row r="46" spans="2:5" x14ac:dyDescent="0.25">
      <c r="B46" s="7">
        <v>274.69387755102042</v>
      </c>
      <c r="C46" s="7">
        <v>3076642.6934553361</v>
      </c>
      <c r="D46" s="7">
        <v>2</v>
      </c>
      <c r="E46">
        <f t="shared" si="0"/>
        <v>30.766426934553362</v>
      </c>
    </row>
    <row r="47" spans="2:5" x14ac:dyDescent="0.25">
      <c r="B47" s="7">
        <v>275.10204081632651</v>
      </c>
      <c r="C47" s="7">
        <v>3202561.0649399557</v>
      </c>
      <c r="D47" s="7">
        <v>2</v>
      </c>
      <c r="E47">
        <f t="shared" si="0"/>
        <v>32.02561064939956</v>
      </c>
    </row>
    <row r="48" spans="2:5" x14ac:dyDescent="0.25">
      <c r="B48" s="7">
        <v>275.51020408163265</v>
      </c>
      <c r="C48" s="7">
        <v>3334011.8475417765</v>
      </c>
      <c r="D48" s="7">
        <v>2</v>
      </c>
      <c r="E48">
        <f t="shared" si="0"/>
        <v>33.340118475417768</v>
      </c>
    </row>
    <row r="49" spans="2:5" x14ac:dyDescent="0.25">
      <c r="B49" s="7">
        <v>275.91836734693879</v>
      </c>
      <c r="C49" s="7">
        <v>3471280.3291023821</v>
      </c>
      <c r="D49" s="7">
        <v>2</v>
      </c>
      <c r="E49">
        <f t="shared" si="0"/>
        <v>34.712803291023818</v>
      </c>
    </row>
    <row r="50" spans="2:5" x14ac:dyDescent="0.25">
      <c r="B50" s="7">
        <v>276.32653061224488</v>
      </c>
      <c r="C50" s="7">
        <v>3614670.4639979531</v>
      </c>
      <c r="D50" s="7">
        <v>2</v>
      </c>
      <c r="E50">
        <f t="shared" si="0"/>
        <v>36.146704639979532</v>
      </c>
    </row>
    <row r="51" spans="2:5" x14ac:dyDescent="0.25">
      <c r="B51" s="7">
        <v>276.73469387755102</v>
      </c>
      <c r="C51" s="7">
        <v>3766034.2424688321</v>
      </c>
      <c r="D51" s="7">
        <v>3</v>
      </c>
      <c r="E51">
        <f t="shared" si="0"/>
        <v>37.660342424688324</v>
      </c>
    </row>
    <row r="52" spans="2:5" x14ac:dyDescent="0.25">
      <c r="B52" s="7">
        <v>277.14285714285717</v>
      </c>
      <c r="C52" s="7">
        <v>3922843.3933275347</v>
      </c>
      <c r="D52" s="7">
        <v>3</v>
      </c>
      <c r="E52">
        <f t="shared" si="0"/>
        <v>39.228433933275348</v>
      </c>
    </row>
    <row r="53" spans="2:5" x14ac:dyDescent="0.25">
      <c r="B53" s="7">
        <v>277.55102040816325</v>
      </c>
      <c r="C53" s="7">
        <v>4086834.5583520876</v>
      </c>
      <c r="D53" s="7">
        <v>3</v>
      </c>
      <c r="E53">
        <f t="shared" si="0"/>
        <v>40.868345583520878</v>
      </c>
    </row>
    <row r="54" spans="2:5" x14ac:dyDescent="0.25">
      <c r="B54" s="7">
        <v>277.9591836734694</v>
      </c>
      <c r="C54" s="7">
        <v>4258408.0075917309</v>
      </c>
      <c r="D54" s="7">
        <v>3</v>
      </c>
      <c r="E54">
        <f t="shared" si="0"/>
        <v>42.584080075917306</v>
      </c>
    </row>
    <row r="55" spans="2:5" x14ac:dyDescent="0.25">
      <c r="B55" s="7">
        <v>278.36734693877554</v>
      </c>
      <c r="C55" s="7">
        <v>4437990.9844481405</v>
      </c>
      <c r="D55" s="7">
        <v>3</v>
      </c>
      <c r="E55">
        <f t="shared" si="0"/>
        <v>44.379909844481404</v>
      </c>
    </row>
    <row r="56" spans="2:5" x14ac:dyDescent="0.25">
      <c r="B56" s="7">
        <v>278.77551020408163</v>
      </c>
      <c r="C56" s="7">
        <v>4626041.9354220498</v>
      </c>
      <c r="D56" s="7">
        <v>3</v>
      </c>
      <c r="E56">
        <f t="shared" si="0"/>
        <v>46.260419354220495</v>
      </c>
    </row>
    <row r="57" spans="2:5" x14ac:dyDescent="0.25">
      <c r="B57" s="7">
        <v>279.18367346938777</v>
      </c>
      <c r="C57" s="7">
        <v>4823053.3897842048</v>
      </c>
      <c r="D57" s="7">
        <v>3</v>
      </c>
      <c r="E57">
        <f t="shared" si="0"/>
        <v>48.230533897842051</v>
      </c>
    </row>
    <row r="58" spans="2:5" x14ac:dyDescent="0.25">
      <c r="B58" s="7">
        <v>279.59183673469386</v>
      </c>
      <c r="C58" s="7">
        <v>5029555.143797921</v>
      </c>
      <c r="D58" s="7">
        <v>3</v>
      </c>
      <c r="E58">
        <f t="shared" si="0"/>
        <v>50.295551437979213</v>
      </c>
    </row>
    <row r="59" spans="2:5" x14ac:dyDescent="0.25">
      <c r="B59" s="7">
        <v>280</v>
      </c>
      <c r="C59" s="7">
        <v>5246117.7847892642</v>
      </c>
      <c r="D59" s="7">
        <v>3</v>
      </c>
      <c r="E59">
        <f t="shared" si="0"/>
        <v>52.461177847892642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2"/>
  <sheetViews>
    <sheetView topLeftCell="A2" workbookViewId="0">
      <selection activeCell="K21" sqref="K21"/>
    </sheetView>
  </sheetViews>
  <sheetFormatPr defaultRowHeight="15" x14ac:dyDescent="0.25"/>
  <sheetData>
    <row r="1" spans="1:9" ht="15.75" thickBot="1" x14ac:dyDescent="0.3"/>
    <row r="2" spans="1:9" ht="16.5" thickTop="1" thickBot="1" x14ac:dyDescent="0.3">
      <c r="A2" s="4" t="s">
        <v>19</v>
      </c>
      <c r="B2" s="4" t="s">
        <v>20</v>
      </c>
      <c r="C2" s="4" t="s">
        <v>40</v>
      </c>
      <c r="D2" s="10" t="s">
        <v>43</v>
      </c>
      <c r="G2" t="s">
        <v>45</v>
      </c>
      <c r="H2" t="s">
        <v>46</v>
      </c>
    </row>
    <row r="3" spans="1:9" ht="15.75" thickTop="1" x14ac:dyDescent="0.25">
      <c r="A3" s="7">
        <v>260</v>
      </c>
      <c r="B3" s="7">
        <v>1704935.8758091906</v>
      </c>
      <c r="C3" s="7">
        <v>4</v>
      </c>
      <c r="D3">
        <v>1485613.0138498624</v>
      </c>
      <c r="G3">
        <v>262.36599999999999</v>
      </c>
      <c r="H3">
        <v>16.542100000000001</v>
      </c>
      <c r="I3">
        <f>H3*101325</f>
        <v>1676128.2825000002</v>
      </c>
    </row>
    <row r="4" spans="1:9" x14ac:dyDescent="0.25">
      <c r="A4" s="7">
        <v>260.40816326530614</v>
      </c>
      <c r="B4" s="7">
        <v>1728633.6560684445</v>
      </c>
      <c r="C4" s="7">
        <v>2</v>
      </c>
      <c r="D4">
        <v>1506262.3128950787</v>
      </c>
      <c r="G4">
        <v>263.923</v>
      </c>
      <c r="H4">
        <v>17.238499999999998</v>
      </c>
      <c r="I4">
        <f t="shared" ref="I4:I21" si="0">H4*101325</f>
        <v>1746691.0124999997</v>
      </c>
    </row>
    <row r="5" spans="1:9" x14ac:dyDescent="0.25">
      <c r="A5" s="7">
        <v>260.81632653061223</v>
      </c>
      <c r="B5" s="7">
        <v>1752716.1978788436</v>
      </c>
      <c r="C5" s="7">
        <v>2</v>
      </c>
      <c r="D5">
        <v>1527246.8777856098</v>
      </c>
      <c r="G5">
        <v>266.25299999999999</v>
      </c>
      <c r="H5">
        <v>19.496300000000002</v>
      </c>
      <c r="I5">
        <f t="shared" si="0"/>
        <v>1975462.5975000001</v>
      </c>
    </row>
    <row r="6" spans="1:9" x14ac:dyDescent="0.25">
      <c r="A6" s="7">
        <v>261.22448979591837</v>
      </c>
      <c r="B6" s="7">
        <v>1777061.3952599249</v>
      </c>
      <c r="C6" s="7">
        <v>2</v>
      </c>
      <c r="D6">
        <v>1548460.3102479377</v>
      </c>
      <c r="G6">
        <v>268.39499999999998</v>
      </c>
      <c r="H6">
        <v>20.598700000000001</v>
      </c>
      <c r="I6">
        <f t="shared" si="0"/>
        <v>2087163.2775000001</v>
      </c>
    </row>
    <row r="7" spans="1:9" x14ac:dyDescent="0.25">
      <c r="A7" s="7">
        <v>261.63265306122452</v>
      </c>
      <c r="B7" s="7">
        <v>1801670.7927741767</v>
      </c>
      <c r="C7" s="7">
        <v>2</v>
      </c>
      <c r="D7">
        <v>1569903.9561521127</v>
      </c>
      <c r="G7">
        <v>270.536</v>
      </c>
      <c r="H7">
        <v>22.061499999999999</v>
      </c>
      <c r="I7">
        <f t="shared" si="0"/>
        <v>2235381.4874999998</v>
      </c>
    </row>
    <row r="8" spans="1:9" x14ac:dyDescent="0.25">
      <c r="A8" s="7">
        <v>262.0408163265306</v>
      </c>
      <c r="B8" s="7">
        <v>1826546.3742224169</v>
      </c>
      <c r="C8" s="7">
        <v>2</v>
      </c>
      <c r="D8">
        <v>1591579.5441029195</v>
      </c>
      <c r="G8">
        <v>273.83999999999997</v>
      </c>
      <c r="H8">
        <v>25.299399999999999</v>
      </c>
      <c r="I8">
        <f t="shared" si="0"/>
        <v>2563461.7050000001</v>
      </c>
    </row>
    <row r="9" spans="1:9" x14ac:dyDescent="0.25">
      <c r="A9" s="7">
        <v>262.44897959183675</v>
      </c>
      <c r="B9" s="7">
        <v>1851690.131428445</v>
      </c>
      <c r="C9" s="7">
        <v>2</v>
      </c>
      <c r="D9">
        <v>1613488.8096960478</v>
      </c>
      <c r="G9">
        <v>274.42</v>
      </c>
      <c r="H9">
        <v>26.718499999999999</v>
      </c>
      <c r="I9">
        <f t="shared" si="0"/>
        <v>2707252.0124999997</v>
      </c>
    </row>
    <row r="10" spans="1:9" x14ac:dyDescent="0.25">
      <c r="A10" s="7">
        <v>262.85714285714283</v>
      </c>
      <c r="B10" s="7">
        <v>1877104.0626396784</v>
      </c>
      <c r="C10" s="7">
        <v>2</v>
      </c>
      <c r="D10">
        <v>1635633.4941244721</v>
      </c>
      <c r="G10">
        <v>275.96800000000002</v>
      </c>
      <c r="H10">
        <v>30.211400000000001</v>
      </c>
      <c r="I10">
        <f t="shared" si="0"/>
        <v>3061170.105</v>
      </c>
    </row>
    <row r="11" spans="1:9" x14ac:dyDescent="0.25">
      <c r="A11" s="7">
        <v>263.26530612244898</v>
      </c>
      <c r="B11" s="7">
        <v>1902790.1724561811</v>
      </c>
      <c r="C11" s="7">
        <v>2</v>
      </c>
      <c r="D11">
        <v>1658015.3441166086</v>
      </c>
      <c r="G11">
        <v>277.12599999999998</v>
      </c>
      <c r="H11">
        <v>34.157400000000003</v>
      </c>
      <c r="I11">
        <f t="shared" si="0"/>
        <v>3460998.5550000002</v>
      </c>
    </row>
    <row r="12" spans="1:9" x14ac:dyDescent="0.25">
      <c r="A12" s="7">
        <v>263.67346938775512</v>
      </c>
      <c r="B12" s="7">
        <v>1928750.4717634346</v>
      </c>
      <c r="C12" s="7">
        <v>2</v>
      </c>
      <c r="D12">
        <v>1680636.1118777355</v>
      </c>
      <c r="G12">
        <v>279.25299999999999</v>
      </c>
      <c r="H12">
        <v>41.347999999999999</v>
      </c>
      <c r="I12">
        <f t="shared" si="0"/>
        <v>4189586.1</v>
      </c>
    </row>
    <row r="13" spans="1:9" x14ac:dyDescent="0.25">
      <c r="A13" s="7">
        <v>264.08163265306121</v>
      </c>
      <c r="B13" s="7">
        <v>1954986.9776633843</v>
      </c>
      <c r="C13" s="7">
        <v>2</v>
      </c>
      <c r="D13">
        <v>1703497.5550299096</v>
      </c>
      <c r="G13">
        <v>280.21800000000002</v>
      </c>
      <c r="H13">
        <v>45.491300000000003</v>
      </c>
      <c r="I13">
        <f t="shared" si="0"/>
        <v>4609405.9725000001</v>
      </c>
    </row>
    <row r="14" spans="1:9" x14ac:dyDescent="0.25">
      <c r="A14" s="7">
        <v>264.48979591836735</v>
      </c>
      <c r="B14" s="7">
        <v>1981501.7134036713</v>
      </c>
      <c r="C14" s="7">
        <v>2</v>
      </c>
      <c r="D14">
        <v>1726601.436550301</v>
      </c>
      <c r="G14">
        <v>282.34300000000002</v>
      </c>
      <c r="H14">
        <v>55.822200000000002</v>
      </c>
      <c r="I14">
        <f t="shared" si="0"/>
        <v>5656184.415</v>
      </c>
    </row>
    <row r="15" spans="1:9" x14ac:dyDescent="0.25">
      <c r="A15" s="7">
        <v>264.89795918367349</v>
      </c>
      <c r="B15" s="7">
        <v>2008296.7083049433</v>
      </c>
      <c r="C15" s="7">
        <v>2</v>
      </c>
      <c r="D15">
        <v>1749949.5247078557</v>
      </c>
      <c r="G15">
        <v>284.08199999999999</v>
      </c>
      <c r="H15">
        <v>65.752799999999993</v>
      </c>
      <c r="I15">
        <f t="shared" si="0"/>
        <v>6662402.459999999</v>
      </c>
    </row>
    <row r="16" spans="1:9" x14ac:dyDescent="0.25">
      <c r="A16" s="7">
        <v>265.30612244897958</v>
      </c>
      <c r="B16" s="7">
        <v>2035373.9976863663</v>
      </c>
      <c r="C16" s="7">
        <v>2</v>
      </c>
      <c r="D16">
        <v>1773543.592998388</v>
      </c>
      <c r="G16">
        <v>286.012</v>
      </c>
      <c r="H16">
        <v>80.680599999999998</v>
      </c>
      <c r="I16">
        <f t="shared" si="0"/>
        <v>8174961.7949999999</v>
      </c>
    </row>
    <row r="17" spans="1:9" x14ac:dyDescent="0.25">
      <c r="A17" s="7">
        <v>265.71428571428572</v>
      </c>
      <c r="B17" s="7">
        <v>2062735.6227891636</v>
      </c>
      <c r="C17" s="7">
        <v>2</v>
      </c>
      <c r="D17">
        <v>1797385.4200779574</v>
      </c>
      <c r="G17">
        <v>288.91000000000003</v>
      </c>
      <c r="H17">
        <v>105.994</v>
      </c>
      <c r="I17">
        <f t="shared" si="0"/>
        <v>10739842.050000001</v>
      </c>
    </row>
    <row r="18" spans="1:9" x14ac:dyDescent="0.25">
      <c r="A18" s="7">
        <v>266.12244897959181</v>
      </c>
      <c r="B18" s="7">
        <v>2090383.6306982075</v>
      </c>
      <c r="C18" s="7">
        <v>2</v>
      </c>
      <c r="D18">
        <v>1821476.7896945449</v>
      </c>
      <c r="G18">
        <v>291.99599999999998</v>
      </c>
      <c r="H18">
        <v>149.059</v>
      </c>
      <c r="I18">
        <f t="shared" si="0"/>
        <v>15103403.174999999</v>
      </c>
    </row>
    <row r="19" spans="1:9" x14ac:dyDescent="0.25">
      <c r="A19" s="7">
        <v>266.53061224489795</v>
      </c>
      <c r="B19" s="7">
        <v>2118320.0742616178</v>
      </c>
      <c r="C19" s="7">
        <v>2</v>
      </c>
      <c r="D19">
        <v>1845819.4906179956</v>
      </c>
      <c r="G19">
        <v>294.88799999999998</v>
      </c>
      <c r="H19">
        <v>206.77799999999999</v>
      </c>
      <c r="I19">
        <f t="shared" si="0"/>
        <v>20951780.849999998</v>
      </c>
    </row>
    <row r="20" spans="1:9" x14ac:dyDescent="0.25">
      <c r="A20" s="7">
        <v>266.9387755102041</v>
      </c>
      <c r="B20" s="7">
        <v>2146547.0120083583</v>
      </c>
      <c r="C20" s="7">
        <v>2</v>
      </c>
      <c r="D20">
        <v>1870415.3165682149</v>
      </c>
      <c r="G20">
        <v>298.16300000000001</v>
      </c>
      <c r="H20">
        <v>307.07</v>
      </c>
      <c r="I20">
        <f t="shared" si="0"/>
        <v>31113867.75</v>
      </c>
    </row>
    <row r="21" spans="1:9" x14ac:dyDescent="0.25">
      <c r="A21" s="7">
        <v>267.34693877551018</v>
      </c>
      <c r="B21" s="7">
        <v>2175066.5080637541</v>
      </c>
      <c r="C21" s="7">
        <v>2</v>
      </c>
      <c r="D21">
        <v>1895266.0661415539</v>
      </c>
      <c r="G21">
        <v>300.072</v>
      </c>
      <c r="H21">
        <v>449.67599999999999</v>
      </c>
      <c r="I21">
        <f t="shared" si="0"/>
        <v>45563420.699999996</v>
      </c>
    </row>
    <row r="22" spans="1:9" x14ac:dyDescent="0.25">
      <c r="A22" s="7">
        <v>267.75510204081633</v>
      </c>
      <c r="B22" s="7">
        <v>2203880.6320629334</v>
      </c>
      <c r="C22" s="7">
        <v>2</v>
      </c>
      <c r="D22">
        <v>1920373.5427353864</v>
      </c>
    </row>
    <row r="23" spans="1:9" x14ac:dyDescent="0.25">
      <c r="A23" s="7">
        <v>268.16326530612247</v>
      </c>
      <c r="B23" s="7">
        <v>2232991.4590621237</v>
      </c>
      <c r="C23" s="7">
        <v>2</v>
      </c>
      <c r="D23">
        <v>1945739.5544708148</v>
      </c>
    </row>
    <row r="24" spans="1:9" x14ac:dyDescent="0.25">
      <c r="A24" s="7">
        <v>268.57142857142856</v>
      </c>
      <c r="B24" s="7">
        <v>2262401.0694477828</v>
      </c>
      <c r="C24" s="7">
        <v>2</v>
      </c>
      <c r="D24">
        <v>1971365.9141134922</v>
      </c>
    </row>
    <row r="25" spans="1:9" x14ac:dyDescent="0.25">
      <c r="A25" s="7">
        <v>268.9795918367347</v>
      </c>
      <c r="B25" s="7">
        <v>2292111.548843604</v>
      </c>
      <c r="C25" s="7">
        <v>2</v>
      </c>
      <c r="D25">
        <v>1997254.4389925885</v>
      </c>
    </row>
    <row r="26" spans="1:9" x14ac:dyDescent="0.25">
      <c r="A26" s="7">
        <v>269.38775510204084</v>
      </c>
      <c r="B26" s="7">
        <v>2322124.9880151753</v>
      </c>
      <c r="C26" s="7">
        <v>2</v>
      </c>
      <c r="D26">
        <v>2023406.9509177161</v>
      </c>
    </row>
    <row r="27" spans="1:9" x14ac:dyDescent="0.25">
      <c r="A27" s="7">
        <v>269.79591836734693</v>
      </c>
      <c r="B27" s="7">
        <v>2352443.482772476</v>
      </c>
      <c r="C27" s="7">
        <v>2</v>
      </c>
      <c r="D27">
        <v>2049825.2760939677</v>
      </c>
    </row>
    <row r="28" spans="1:9" x14ac:dyDescent="0.25">
      <c r="A28" s="7">
        <v>270.20408163265307</v>
      </c>
      <c r="B28" s="7">
        <v>2383069.1338700294</v>
      </c>
      <c r="C28" s="7">
        <v>2</v>
      </c>
      <c r="D28">
        <v>2076511.2450349149</v>
      </c>
    </row>
    <row r="29" spans="1:9" x14ac:dyDescent="0.25">
      <c r="A29" s="7">
        <v>270.61224489795916</v>
      </c>
      <c r="B29" s="7">
        <v>2414004.0469047301</v>
      </c>
      <c r="C29" s="7">
        <v>2</v>
      </c>
      <c r="D29">
        <v>2103466.6924735778</v>
      </c>
    </row>
    <row r="30" spans="1:9" x14ac:dyDescent="0.25">
      <c r="A30" s="7">
        <v>271.0204081632653</v>
      </c>
      <c r="B30" s="7">
        <v>2445250.3322113059</v>
      </c>
      <c r="C30" s="7">
        <v>2</v>
      </c>
      <c r="D30">
        <v>2130693.4572713347</v>
      </c>
    </row>
    <row r="31" spans="1:9" x14ac:dyDescent="0.25">
      <c r="A31" s="7">
        <v>271.42857142857144</v>
      </c>
      <c r="B31" s="7">
        <v>2476810.1047554105</v>
      </c>
      <c r="C31" s="7">
        <v>2</v>
      </c>
      <c r="D31">
        <v>2158193.3823247687</v>
      </c>
    </row>
    <row r="32" spans="1:9" x14ac:dyDescent="0.25">
      <c r="A32" s="7">
        <v>271.83673469387753</v>
      </c>
      <c r="B32" s="7">
        <v>2508685.4840242099</v>
      </c>
      <c r="C32" s="7">
        <v>2</v>
      </c>
      <c r="D32">
        <v>2185968.314470327</v>
      </c>
    </row>
    <row r="33" spans="1:4" x14ac:dyDescent="0.25">
      <c r="A33" s="7">
        <v>272.24489795918367</v>
      </c>
      <c r="B33" s="7">
        <v>2540878.5939146141</v>
      </c>
      <c r="C33" s="7">
        <v>2</v>
      </c>
      <c r="D33">
        <v>2214020.1043869327</v>
      </c>
    </row>
    <row r="34" spans="1:4" x14ac:dyDescent="0.25">
      <c r="A34" s="7">
        <v>272.65306122448982</v>
      </c>
      <c r="B34" s="7">
        <v>2573391.5626188931</v>
      </c>
      <c r="C34" s="7">
        <v>2</v>
      </c>
      <c r="D34">
        <v>2242350.6064963127</v>
      </c>
    </row>
    <row r="35" spans="1:4" x14ac:dyDescent="0.25">
      <c r="A35" s="7">
        <v>273.0612244897959</v>
      </c>
      <c r="B35" s="7">
        <v>2606226.5225078692</v>
      </c>
      <c r="C35" s="7">
        <v>2</v>
      </c>
      <c r="D35">
        <v>2270961.6788612185</v>
      </c>
    </row>
    <row r="36" spans="1:4" x14ac:dyDescent="0.25">
      <c r="A36" s="7">
        <v>273.46938775510205</v>
      </c>
      <c r="B36" s="7">
        <v>2729370.9932663338</v>
      </c>
      <c r="C36" s="7">
        <v>2</v>
      </c>
      <c r="D36">
        <v>2378264.8513371926</v>
      </c>
    </row>
    <row r="37" spans="1:4" x14ac:dyDescent="0.25">
      <c r="A37" s="7">
        <v>273.87755102040819</v>
      </c>
      <c r="B37" s="7">
        <v>2840346.2157391044</v>
      </c>
      <c r="C37" s="7">
        <v>2</v>
      </c>
      <c r="D37">
        <v>2474964.2269909442</v>
      </c>
    </row>
    <row r="38" spans="1:4" x14ac:dyDescent="0.25">
      <c r="A38" s="7">
        <v>274.28571428571428</v>
      </c>
      <c r="B38" s="7">
        <v>2955988.6859549182</v>
      </c>
      <c r="C38" s="7">
        <v>2</v>
      </c>
      <c r="D38">
        <v>2575730.4558819979</v>
      </c>
    </row>
    <row r="39" spans="1:4" x14ac:dyDescent="0.25">
      <c r="A39" s="7">
        <v>274.69387755102042</v>
      </c>
      <c r="B39" s="7">
        <v>3076642.6934553361</v>
      </c>
      <c r="C39" s="7">
        <v>2</v>
      </c>
      <c r="D39">
        <v>2680863.5381632815</v>
      </c>
    </row>
    <row r="40" spans="1:4" x14ac:dyDescent="0.25">
      <c r="A40" s="7">
        <v>275.10204081632651</v>
      </c>
      <c r="B40" s="7">
        <v>3202561.0649399557</v>
      </c>
      <c r="C40" s="7">
        <v>2</v>
      </c>
      <c r="D40">
        <v>2790583.7769209696</v>
      </c>
    </row>
    <row r="41" spans="1:4" x14ac:dyDescent="0.25">
      <c r="A41" s="7">
        <v>275.51020408163265</v>
      </c>
      <c r="B41" s="7">
        <v>3334011.8475417765</v>
      </c>
      <c r="C41" s="7">
        <v>2</v>
      </c>
      <c r="D41">
        <v>2905124.7377188816</v>
      </c>
    </row>
    <row r="42" spans="1:4" x14ac:dyDescent="0.25">
      <c r="A42" s="7">
        <v>275.91836734693879</v>
      </c>
      <c r="B42" s="7">
        <v>3471280.3291023821</v>
      </c>
      <c r="C42" s="7">
        <v>2</v>
      </c>
      <c r="D42">
        <v>3024735.0089855697</v>
      </c>
    </row>
    <row r="43" spans="1:4" x14ac:dyDescent="0.25">
      <c r="A43" s="7">
        <v>276.32653061224488</v>
      </c>
      <c r="B43" s="7">
        <v>3614670.4639979531</v>
      </c>
      <c r="C43" s="7">
        <v>2</v>
      </c>
      <c r="D43">
        <v>3149679.4444221477</v>
      </c>
    </row>
    <row r="44" spans="1:4" x14ac:dyDescent="0.25">
      <c r="A44" s="7">
        <v>276.73469387755102</v>
      </c>
      <c r="B44" s="7">
        <v>3766034.2424688321</v>
      </c>
      <c r="C44" s="7">
        <v>3</v>
      </c>
      <c r="D44">
        <v>3281571.7943412317</v>
      </c>
    </row>
    <row r="45" spans="1:4" x14ac:dyDescent="0.25">
      <c r="A45" s="7">
        <v>277.14285714285717</v>
      </c>
      <c r="B45" s="7">
        <v>3922843.3933275347</v>
      </c>
      <c r="C45" s="7">
        <v>3</v>
      </c>
      <c r="D45">
        <v>3418209.02422876</v>
      </c>
    </row>
    <row r="46" spans="1:4" x14ac:dyDescent="0.25">
      <c r="A46" s="7">
        <v>277.55102040816325</v>
      </c>
      <c r="B46" s="7">
        <v>4086834.5583520876</v>
      </c>
      <c r="C46" s="7">
        <v>3</v>
      </c>
      <c r="D46">
        <v>3561104.374355196</v>
      </c>
    </row>
    <row r="47" spans="1:4" x14ac:dyDescent="0.25">
      <c r="A47" s="7">
        <v>277.9591836734694</v>
      </c>
      <c r="B47" s="7">
        <v>4258408.0075917309</v>
      </c>
      <c r="C47" s="7">
        <v>3</v>
      </c>
      <c r="D47">
        <v>3710606.6240515648</v>
      </c>
    </row>
    <row r="48" spans="1:4" x14ac:dyDescent="0.25">
      <c r="A48" s="7">
        <v>278.36734693877554</v>
      </c>
      <c r="B48" s="7">
        <v>4437990.9844481405</v>
      </c>
      <c r="C48" s="7">
        <v>3</v>
      </c>
      <c r="D48">
        <v>3867088.0561506799</v>
      </c>
    </row>
    <row r="49" spans="1:4" x14ac:dyDescent="0.25">
      <c r="A49" s="7">
        <v>278.77551020408163</v>
      </c>
      <c r="B49" s="7">
        <v>4626041.9354220498</v>
      </c>
      <c r="C49" s="7">
        <v>3</v>
      </c>
      <c r="D49">
        <v>4030948.1426193793</v>
      </c>
    </row>
    <row r="50" spans="1:4" x14ac:dyDescent="0.25">
      <c r="A50" s="7">
        <v>279.18367346938777</v>
      </c>
      <c r="B50" s="7">
        <v>4823053.3897842048</v>
      </c>
      <c r="C50" s="7">
        <v>3</v>
      </c>
      <c r="D50">
        <v>4202616.0537887616</v>
      </c>
    </row>
    <row r="51" spans="1:4" x14ac:dyDescent="0.25">
      <c r="A51" s="7">
        <v>279.59183673469386</v>
      </c>
      <c r="B51" s="7">
        <v>5029555.143797921</v>
      </c>
      <c r="C51" s="7">
        <v>3</v>
      </c>
      <c r="D51">
        <v>4382553.4329585191</v>
      </c>
    </row>
    <row r="52" spans="1:4" x14ac:dyDescent="0.25">
      <c r="A52" s="7">
        <v>280</v>
      </c>
      <c r="B52" s="7">
        <v>5246117.7847892642</v>
      </c>
      <c r="C52" s="7">
        <v>3</v>
      </c>
      <c r="D52">
        <v>4571257.4671309115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Sheet1</vt:lpstr>
      <vt:lpstr>Sheet3</vt:lpstr>
      <vt:lpstr>Sheet2</vt:lpstr>
      <vt:lpstr>Sheet4</vt:lpstr>
      <vt:lpstr>Plotted Results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Lins</dc:creator>
  <cp:lastModifiedBy>Tiago Fernandes Lins</cp:lastModifiedBy>
  <dcterms:created xsi:type="dcterms:W3CDTF">2014-03-06T19:30:03Z</dcterms:created>
  <dcterms:modified xsi:type="dcterms:W3CDTF">2014-03-18T16:30:39Z</dcterms:modified>
</cp:coreProperties>
</file>